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codeName="ThisWorkbook"/>
  <mc:AlternateContent xmlns:mc="http://schemas.openxmlformats.org/markup-compatibility/2006">
    <mc:Choice Requires="x15">
      <x15ac:absPath xmlns:x15ac="http://schemas.microsoft.com/office/spreadsheetml/2010/11/ac" url="T:\076 小児科\240 小児科\000便利なExcelシート\"/>
    </mc:Choice>
  </mc:AlternateContent>
  <xr:revisionPtr revIDLastSave="0" documentId="13_ncr:1_{CBB5143F-141B-444B-85C9-F3B51CBF486B}" xr6:coauthVersionLast="36" xr6:coauthVersionMax="36" xr10:uidLastSave="{00000000-0000-0000-0000-000000000000}"/>
  <bookViews>
    <workbookView xWindow="0" yWindow="0" windowWidth="2370" windowHeight="0" activeTab="1" xr2:uid="{00000000-000D-0000-FFFF-FFFF00000000}"/>
  </bookViews>
  <sheets>
    <sheet name="テンプレ" sheetId="13" r:id="rId1"/>
    <sheet name="あおい" sheetId="17" r:id="rId2"/>
    <sheet name="yuuhei" sheetId="15" r:id="rId3"/>
    <sheet name="テンプレ (2)" sheetId="14" r:id="rId4"/>
    <sheet name="NICUver" sheetId="1" r:id="rId5"/>
    <sheet name="旧テンプレ" sheetId="11"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5" i="17" l="1"/>
  <c r="J31" i="17"/>
  <c r="M31" i="17" s="1"/>
  <c r="B31" i="17"/>
  <c r="F31" i="17" s="1"/>
  <c r="F32" i="17" s="1"/>
  <c r="I29" i="17"/>
  <c r="A29" i="17"/>
  <c r="I28" i="17"/>
  <c r="A28" i="17"/>
  <c r="I27" i="17"/>
  <c r="A27" i="17"/>
  <c r="I26" i="17"/>
  <c r="A26" i="17"/>
  <c r="I25" i="17"/>
  <c r="A25" i="17"/>
  <c r="I24" i="17"/>
  <c r="A24" i="17"/>
  <c r="I23" i="17"/>
  <c r="A23" i="17"/>
  <c r="I22" i="17"/>
  <c r="A22" i="17"/>
  <c r="I21" i="17"/>
  <c r="A21" i="17"/>
  <c r="I20" i="17"/>
  <c r="A20" i="17"/>
  <c r="I19" i="17"/>
  <c r="A19" i="17"/>
  <c r="Z18" i="17"/>
  <c r="I18" i="17"/>
  <c r="F18" i="17"/>
  <c r="A18" i="17"/>
  <c r="Z17" i="17"/>
  <c r="I17" i="17"/>
  <c r="F17" i="17"/>
  <c r="A17" i="17"/>
  <c r="I16" i="17"/>
  <c r="F16" i="17"/>
  <c r="A16" i="17"/>
  <c r="I15" i="17"/>
  <c r="F15" i="17"/>
  <c r="A15" i="17"/>
  <c r="I14" i="17"/>
  <c r="F14" i="17"/>
  <c r="A14" i="17"/>
  <c r="I13" i="17"/>
  <c r="A13" i="17"/>
  <c r="I12" i="17"/>
  <c r="F12" i="17"/>
  <c r="A12" i="17"/>
  <c r="I11" i="17"/>
  <c r="A11" i="17"/>
  <c r="I10" i="17"/>
  <c r="F10" i="17"/>
  <c r="A10" i="17"/>
  <c r="I9" i="17"/>
  <c r="F9" i="17"/>
  <c r="A9" i="17"/>
  <c r="I8" i="17"/>
  <c r="F8" i="17"/>
  <c r="A8" i="17"/>
  <c r="F5" i="17"/>
  <c r="M32" i="17" l="1"/>
  <c r="F11" i="17"/>
  <c r="B40" i="17"/>
  <c r="B41" i="17" s="1"/>
  <c r="M8" i="17"/>
  <c r="M10" i="17"/>
  <c r="M11" i="17" s="1"/>
  <c r="M15" i="17"/>
  <c r="M17" i="17"/>
  <c r="M18" i="17"/>
  <c r="M12" i="17"/>
  <c r="M13" i="17" s="1"/>
  <c r="M9" i="17"/>
  <c r="M14" i="17"/>
  <c r="M16" i="17"/>
  <c r="J44" i="17" s="1"/>
  <c r="M29" i="17"/>
  <c r="J40" i="17"/>
  <c r="J42" i="17"/>
  <c r="M19" i="17"/>
  <c r="F44" i="17"/>
  <c r="F46" i="17" s="1"/>
  <c r="B45" i="17"/>
  <c r="J35" i="17" s="1"/>
  <c r="F13" i="17"/>
  <c r="F40" i="17"/>
  <c r="F42" i="17" s="1"/>
  <c r="M40" i="17"/>
  <c r="F29" i="17"/>
  <c r="F19" i="17"/>
  <c r="F45" i="17"/>
  <c r="F41" i="17"/>
  <c r="J43" i="17"/>
  <c r="J45" i="17"/>
  <c r="J41" i="17"/>
  <c r="M41" i="17"/>
  <c r="B46" i="17"/>
  <c r="J36" i="17" s="1"/>
  <c r="I29" i="15"/>
  <c r="I28" i="15"/>
  <c r="I27" i="15"/>
  <c r="I26" i="15"/>
  <c r="I25" i="15"/>
  <c r="I24" i="15"/>
  <c r="I23" i="15"/>
  <c r="I22" i="15"/>
  <c r="I21" i="15"/>
  <c r="I20" i="15"/>
  <c r="I19" i="15"/>
  <c r="I18" i="15"/>
  <c r="I17" i="15"/>
  <c r="I16" i="15"/>
  <c r="I15" i="15"/>
  <c r="I14" i="15"/>
  <c r="I13" i="15"/>
  <c r="I12" i="15"/>
  <c r="I11" i="15"/>
  <c r="I10" i="15"/>
  <c r="I9" i="15"/>
  <c r="I8" i="15"/>
  <c r="A29" i="15"/>
  <c r="A28" i="15"/>
  <c r="A27" i="15"/>
  <c r="A26" i="15"/>
  <c r="A25" i="15"/>
  <c r="A24" i="15"/>
  <c r="A23" i="15"/>
  <c r="A22" i="15"/>
  <c r="A21" i="15"/>
  <c r="A20" i="15"/>
  <c r="A19" i="15"/>
  <c r="A18" i="15"/>
  <c r="A17" i="15"/>
  <c r="A16" i="15"/>
  <c r="A15" i="15"/>
  <c r="A14" i="15"/>
  <c r="A13" i="15"/>
  <c r="A12" i="15"/>
  <c r="A11" i="15"/>
  <c r="A10" i="15"/>
  <c r="A9" i="15"/>
  <c r="A8" i="15"/>
  <c r="J37" i="17" l="1"/>
  <c r="B44" i="17"/>
  <c r="F43" i="17"/>
  <c r="M45" i="17"/>
  <c r="M43" i="17"/>
  <c r="M44" i="17"/>
  <c r="B42" i="17"/>
  <c r="B46" i="15"/>
  <c r="J36" i="15" s="1"/>
  <c r="B40" i="15"/>
  <c r="B41" i="15" s="1"/>
  <c r="B35" i="15"/>
  <c r="J31" i="15"/>
  <c r="M31" i="15" s="1"/>
  <c r="B31" i="15"/>
  <c r="F31" i="15" s="1"/>
  <c r="Z18" i="15"/>
  <c r="Z17" i="15"/>
  <c r="F5" i="15"/>
  <c r="K37" i="17" l="1"/>
  <c r="K36" i="17"/>
  <c r="B43" i="17"/>
  <c r="K35" i="17"/>
  <c r="F12" i="15"/>
  <c r="F13" i="15" s="1"/>
  <c r="F16" i="15"/>
  <c r="F17" i="15"/>
  <c r="F8" i="15"/>
  <c r="F9" i="15"/>
  <c r="F10" i="15"/>
  <c r="F11" i="15" s="1"/>
  <c r="F18" i="15"/>
  <c r="F14" i="15"/>
  <c r="F15" i="15"/>
  <c r="M29" i="15"/>
  <c r="M10" i="15"/>
  <c r="M11" i="15" s="1"/>
  <c r="M9" i="15"/>
  <c r="M17" i="15"/>
  <c r="M18" i="15"/>
  <c r="M14" i="15"/>
  <c r="F19" i="15"/>
  <c r="M8" i="15"/>
  <c r="M12" i="15"/>
  <c r="M13" i="15" s="1"/>
  <c r="M16" i="15"/>
  <c r="M19" i="15"/>
  <c r="F29" i="15"/>
  <c r="M40" i="15"/>
  <c r="J43" i="15"/>
  <c r="J45" i="15"/>
  <c r="J41" i="15"/>
  <c r="M41" i="15"/>
  <c r="M15" i="15"/>
  <c r="M19" i="13"/>
  <c r="M18" i="13"/>
  <c r="M17" i="13"/>
  <c r="M16" i="13"/>
  <c r="M15" i="13"/>
  <c r="M14" i="13"/>
  <c r="M12" i="13"/>
  <c r="M10" i="13"/>
  <c r="M9" i="13"/>
  <c r="M8" i="13"/>
  <c r="M29" i="13"/>
  <c r="F5" i="13"/>
  <c r="J44" i="15" l="1"/>
  <c r="J42" i="15"/>
  <c r="B44" i="15"/>
  <c r="J40" i="15"/>
  <c r="B45" i="15"/>
  <c r="J35" i="15" s="1"/>
  <c r="J37" i="15"/>
  <c r="F40" i="15"/>
  <c r="F42" i="15" s="1"/>
  <c r="F41" i="15"/>
  <c r="F45" i="15"/>
  <c r="F44" i="15"/>
  <c r="F46" i="15" s="1"/>
  <c r="M45" i="15"/>
  <c r="M43" i="15"/>
  <c r="M44" i="15"/>
  <c r="Z17" i="13"/>
  <c r="Z18" i="13"/>
  <c r="B42" i="15" l="1"/>
  <c r="B43" i="15" s="1"/>
  <c r="F43" i="15"/>
  <c r="J31" i="13"/>
  <c r="K35" i="15" l="1"/>
  <c r="K36" i="15"/>
  <c r="K37" i="15"/>
  <c r="M31" i="13"/>
  <c r="B31" i="13"/>
  <c r="F15" i="13" s="1"/>
  <c r="F29" i="13" l="1"/>
  <c r="F9" i="13"/>
  <c r="F19" i="13"/>
  <c r="M45" i="13" s="1"/>
  <c r="F10" i="13"/>
  <c r="F11" i="13" s="1"/>
  <c r="F8" i="13"/>
  <c r="F18" i="13"/>
  <c r="F17" i="13"/>
  <c r="J42" i="13" s="1"/>
  <c r="F16" i="13"/>
  <c r="J44" i="13" s="1"/>
  <c r="F14" i="13"/>
  <c r="F12" i="13"/>
  <c r="F13" i="13" s="1"/>
  <c r="J43" i="13"/>
  <c r="M41" i="13"/>
  <c r="J41" i="13"/>
  <c r="M40" i="13"/>
  <c r="J40" i="13"/>
  <c r="M11" i="13"/>
  <c r="F31" i="13"/>
  <c r="F41" i="13" l="1"/>
  <c r="M44" i="13"/>
  <c r="M43" i="13"/>
  <c r="J45" i="13"/>
  <c r="F9" i="14"/>
  <c r="J39" i="14"/>
  <c r="B36" i="14"/>
  <c r="J32" i="14"/>
  <c r="B31" i="14"/>
  <c r="J27" i="14"/>
  <c r="F41" i="14" s="1"/>
  <c r="B27" i="14"/>
  <c r="F39" i="14" s="1"/>
  <c r="M16" i="14"/>
  <c r="F16" i="14"/>
  <c r="M15" i="14"/>
  <c r="F15" i="14"/>
  <c r="F38" i="14" s="1"/>
  <c r="M14" i="14"/>
  <c r="F14" i="14"/>
  <c r="F40" i="14" s="1"/>
  <c r="M13" i="14"/>
  <c r="F13" i="14"/>
  <c r="M12" i="14"/>
  <c r="F12" i="14"/>
  <c r="M11" i="14"/>
  <c r="F11" i="14"/>
  <c r="M10" i="14"/>
  <c r="F10" i="14"/>
  <c r="B40" i="14" s="1"/>
  <c r="M9" i="14"/>
  <c r="M8" i="14"/>
  <c r="F8" i="14"/>
  <c r="B39" i="14" l="1"/>
  <c r="J31" i="14" s="1"/>
  <c r="F36" i="14"/>
  <c r="B41" i="14"/>
  <c r="J37" i="14"/>
  <c r="J36" i="14"/>
  <c r="F37" i="14"/>
  <c r="B35" i="13" l="1"/>
  <c r="B40" i="13" s="1"/>
  <c r="B41" i="13" s="1"/>
  <c r="J37" i="13" l="1"/>
  <c r="M13" i="13"/>
  <c r="B45" i="13"/>
  <c r="B46" i="13"/>
  <c r="J36" i="13" s="1"/>
  <c r="F40" i="13" l="1"/>
  <c r="F45" i="13"/>
  <c r="F44" i="13"/>
  <c r="F46" i="13" s="1"/>
  <c r="B42" i="13"/>
  <c r="B43" i="13" s="1"/>
  <c r="B44" i="13"/>
  <c r="J35" i="13"/>
  <c r="B46" i="11"/>
  <c r="F36" i="11" s="1"/>
  <c r="B50" i="11"/>
  <c r="B25" i="11"/>
  <c r="F43" i="13" l="1"/>
  <c r="F42" i="13"/>
  <c r="J29" i="11"/>
  <c r="J13" i="11"/>
  <c r="J27" i="11"/>
  <c r="J22" i="11"/>
  <c r="J26" i="11"/>
  <c r="J20" i="11"/>
  <c r="J24" i="11"/>
  <c r="F9" i="11"/>
  <c r="F30" i="11"/>
  <c r="F31" i="11"/>
  <c r="F33" i="11"/>
  <c r="F35" i="11"/>
  <c r="F37" i="11"/>
  <c r="F29" i="11"/>
  <c r="F32" i="11"/>
  <c r="F34" i="11"/>
  <c r="F8" i="11"/>
  <c r="F16" i="11"/>
  <c r="F10" i="11"/>
  <c r="F13" i="11"/>
  <c r="J19" i="11" s="1"/>
  <c r="F15" i="11"/>
  <c r="J21" i="11" s="1"/>
  <c r="F14" i="11"/>
  <c r="J23" i="11" s="1"/>
  <c r="F11" i="11"/>
  <c r="J18" i="11" s="1"/>
  <c r="F12" i="11"/>
  <c r="K36" i="13" l="1"/>
  <c r="K35" i="13"/>
  <c r="K37" i="13"/>
  <c r="J16" i="11"/>
  <c r="J17" i="11"/>
  <c r="J8" i="11"/>
  <c r="J15" i="11"/>
  <c r="J14" i="11" l="1"/>
  <c r="K8" i="11" s="1"/>
  <c r="J10" i="11"/>
  <c r="B10" i="1" l="1"/>
  <c r="B22" i="1" l="1"/>
  <c r="B14" i="1"/>
  <c r="F5" i="1" l="1"/>
  <c r="F7" i="1" s="1"/>
  <c r="F24" i="1" s="1"/>
  <c r="F13" i="1"/>
  <c r="F25" i="1" s="1"/>
  <c r="B16" i="1"/>
  <c r="F6" i="1" s="1"/>
  <c r="F26" i="1" s="1"/>
  <c r="B18" i="1"/>
  <c r="B19" i="1"/>
  <c r="F10" i="1"/>
  <c r="B17" i="1"/>
  <c r="F12" i="1"/>
  <c r="B25" i="1" l="1"/>
  <c r="F9" i="1"/>
  <c r="B26" i="1"/>
  <c r="F11" i="1"/>
  <c r="F8" i="1"/>
  <c r="F4" i="1"/>
  <c r="G25" i="1" l="1"/>
  <c r="G24" i="1"/>
  <c r="G26" i="1"/>
  <c r="J9" i="11"/>
  <c r="K9" i="11" s="1"/>
  <c r="K10" i="11" l="1"/>
  <c r="B38" i="14"/>
  <c r="B37" i="14" s="1"/>
  <c r="K31" i="14" l="1"/>
  <c r="K32" i="14"/>
  <c r="J33" i="14"/>
  <c r="K33" i="14" s="1"/>
</calcChain>
</file>

<file path=xl/sharedStrings.xml><?xml version="1.0" encoding="utf-8"?>
<sst xmlns="http://schemas.openxmlformats.org/spreadsheetml/2006/main" count="1305" uniqueCount="207">
  <si>
    <t>薬品名</t>
    <rPh sb="0" eb="3">
      <t>ヤクヒンメイ</t>
    </rPh>
    <phoneticPr fontId="1"/>
  </si>
  <si>
    <t>《TPN》</t>
    <phoneticPr fontId="1"/>
  </si>
  <si>
    <t>50％ブドウ糖液</t>
    <rPh sb="6" eb="8">
      <t>トウエキ</t>
    </rPh>
    <phoneticPr fontId="1"/>
  </si>
  <si>
    <t>プレアミン-P</t>
    <phoneticPr fontId="1"/>
  </si>
  <si>
    <t>カルチコール</t>
    <phoneticPr fontId="1"/>
  </si>
  <si>
    <t>リン酸Na補正液(0.5mmol/ml)</t>
    <rPh sb="2" eb="3">
      <t>サン</t>
    </rPh>
    <rPh sb="5" eb="8">
      <t>ホセイエキ</t>
    </rPh>
    <phoneticPr fontId="1"/>
  </si>
  <si>
    <t>アスパラK</t>
    <phoneticPr fontId="1"/>
  </si>
  <si>
    <t>マルタミン</t>
    <phoneticPr fontId="1"/>
  </si>
  <si>
    <t>エレジェクト</t>
    <phoneticPr fontId="1"/>
  </si>
  <si>
    <t>注射用水</t>
    <rPh sb="0" eb="4">
      <t>チュウシャヨウスイ</t>
    </rPh>
    <phoneticPr fontId="1"/>
  </si>
  <si>
    <t>硫酸Mg補正液(1mEq/ml)</t>
    <rPh sb="0" eb="2">
      <t>リュウサン</t>
    </rPh>
    <rPh sb="4" eb="6">
      <t>ホセイ</t>
    </rPh>
    <rPh sb="6" eb="7">
      <t>エキ</t>
    </rPh>
    <phoneticPr fontId="1"/>
  </si>
  <si>
    <t>ヘパリン(5千単位/5ml)</t>
    <rPh sb="6" eb="7">
      <t>セン</t>
    </rPh>
    <rPh sb="7" eb="9">
      <t>タンイ</t>
    </rPh>
    <phoneticPr fontId="1"/>
  </si>
  <si>
    <t>合計</t>
    <rPh sb="0" eb="2">
      <t>ゴウケイ</t>
    </rPh>
    <phoneticPr fontId="1"/>
  </si>
  <si>
    <t>ブドウ糖濃度</t>
    <rPh sb="3" eb="4">
      <t>トウ</t>
    </rPh>
    <rPh sb="4" eb="6">
      <t>ノウド</t>
    </rPh>
    <phoneticPr fontId="1"/>
  </si>
  <si>
    <t>Na</t>
    <phoneticPr fontId="1"/>
  </si>
  <si>
    <t>K</t>
    <phoneticPr fontId="1"/>
  </si>
  <si>
    <t>Cl</t>
    <phoneticPr fontId="1"/>
  </si>
  <si>
    <t>《脂肪乳剤》</t>
    <rPh sb="1" eb="5">
      <t>シボウニュウザイ</t>
    </rPh>
    <phoneticPr fontId="1"/>
  </si>
  <si>
    <t>20％イントラリピッド</t>
    <phoneticPr fontId="1"/>
  </si>
  <si>
    <t>投与速度</t>
    <rPh sb="0" eb="4">
      <t>トウヨソクド</t>
    </rPh>
    <phoneticPr fontId="1"/>
  </si>
  <si>
    <t>投与時間</t>
    <rPh sb="0" eb="4">
      <t>トウヨジカン</t>
    </rPh>
    <phoneticPr fontId="1"/>
  </si>
  <si>
    <t>ml</t>
    <phoneticPr fontId="1"/>
  </si>
  <si>
    <t>mEq/l</t>
    <phoneticPr fontId="1"/>
  </si>
  <si>
    <t>ml/h</t>
    <phoneticPr fontId="1"/>
  </si>
  <si>
    <t>ml/hr</t>
    <phoneticPr fontId="1"/>
  </si>
  <si>
    <t>hr</t>
    <phoneticPr fontId="1"/>
  </si>
  <si>
    <t>体重</t>
    <rPh sb="0" eb="2">
      <t>タイジュウ</t>
    </rPh>
    <phoneticPr fontId="1"/>
  </si>
  <si>
    <t>WQ</t>
    <phoneticPr fontId="1"/>
  </si>
  <si>
    <t>EQ</t>
    <phoneticPr fontId="1"/>
  </si>
  <si>
    <t>TPN輸液速度</t>
    <rPh sb="3" eb="5">
      <t>ユエキ</t>
    </rPh>
    <rPh sb="5" eb="7">
      <t>ソクド</t>
    </rPh>
    <phoneticPr fontId="1"/>
  </si>
  <si>
    <t>GIR</t>
    <phoneticPr fontId="1"/>
  </si>
  <si>
    <t>アミノ酸</t>
    <rPh sb="3" eb="4">
      <t>サン</t>
    </rPh>
    <phoneticPr fontId="1"/>
  </si>
  <si>
    <t>P</t>
    <phoneticPr fontId="1"/>
  </si>
  <si>
    <t>Mg</t>
    <phoneticPr fontId="1"/>
  </si>
  <si>
    <t>脂肪</t>
    <rPh sb="0" eb="2">
      <t>シボウ</t>
    </rPh>
    <phoneticPr fontId="1"/>
  </si>
  <si>
    <t>《紫ルート》</t>
    <rPh sb="1" eb="2">
      <t>ムラサキ</t>
    </rPh>
    <phoneticPr fontId="1"/>
  </si>
  <si>
    <t>10%ブドウ糖</t>
    <rPh sb="6" eb="7">
      <t>トウ</t>
    </rPh>
    <phoneticPr fontId="1"/>
  </si>
  <si>
    <t>ヘパリン</t>
    <phoneticPr fontId="1"/>
  </si>
  <si>
    <t>輸液速度</t>
    <rPh sb="0" eb="2">
      <t>ユエキ</t>
    </rPh>
    <rPh sb="2" eb="4">
      <t>ソクド</t>
    </rPh>
    <phoneticPr fontId="1"/>
  </si>
  <si>
    <t>ml</t>
    <phoneticPr fontId="1"/>
  </si>
  <si>
    <t>《経腸栄養》</t>
    <rPh sb="1" eb="5">
      <t>ケイチョウエイヨウ</t>
    </rPh>
    <phoneticPr fontId="1"/>
  </si>
  <si>
    <t>ミルク</t>
    <phoneticPr fontId="1"/>
  </si>
  <si>
    <t>1回量</t>
    <rPh sb="1" eb="3">
      <t>カイリョウ</t>
    </rPh>
    <phoneticPr fontId="1"/>
  </si>
  <si>
    <t>回数</t>
    <rPh sb="0" eb="2">
      <t>カイスウ</t>
    </rPh>
    <phoneticPr fontId="1"/>
  </si>
  <si>
    <t>《栄養組成》</t>
    <rPh sb="1" eb="3">
      <t>エイヨウ</t>
    </rPh>
    <rPh sb="3" eb="5">
      <t>ソセイ</t>
    </rPh>
    <phoneticPr fontId="1"/>
  </si>
  <si>
    <t>タンパク+Aa</t>
    <phoneticPr fontId="1"/>
  </si>
  <si>
    <t>脂質</t>
    <rPh sb="0" eb="2">
      <t>シシツ</t>
    </rPh>
    <phoneticPr fontId="1"/>
  </si>
  <si>
    <t>糖質</t>
    <rPh sb="0" eb="2">
      <t>トウシツ</t>
    </rPh>
    <phoneticPr fontId="1"/>
  </si>
  <si>
    <t>g/kg/day</t>
    <phoneticPr fontId="1"/>
  </si>
  <si>
    <t>カロリー比</t>
    <rPh sb="4" eb="5">
      <t>ヒ</t>
    </rPh>
    <phoneticPr fontId="1"/>
  </si>
  <si>
    <t>《末梢ルート》</t>
    <rPh sb="1" eb="3">
      <t>マッショウ</t>
    </rPh>
    <phoneticPr fontId="1"/>
  </si>
  <si>
    <t>（イントラルート）</t>
    <phoneticPr fontId="1"/>
  </si>
  <si>
    <t>生食</t>
    <rPh sb="0" eb="2">
      <t>セイショク</t>
    </rPh>
    <phoneticPr fontId="1"/>
  </si>
  <si>
    <t>《IVルート3》</t>
    <phoneticPr fontId="1"/>
  </si>
  <si>
    <t>g</t>
    <phoneticPr fontId="1"/>
  </si>
  <si>
    <t>ml/kg/day</t>
    <phoneticPr fontId="1"/>
  </si>
  <si>
    <t>kcal/kg/day</t>
    <phoneticPr fontId="1"/>
  </si>
  <si>
    <t>mg/kg/min</t>
    <phoneticPr fontId="1"/>
  </si>
  <si>
    <t>g/kg/day</t>
    <phoneticPr fontId="1"/>
  </si>
  <si>
    <t>mEq/kg/day</t>
    <phoneticPr fontId="1"/>
  </si>
  <si>
    <t>マルタミン(1Vを注射用水10mlで溶解)</t>
    <rPh sb="9" eb="13">
      <t>チュウシャヨウスイ</t>
    </rPh>
    <rPh sb="18" eb="20">
      <t>ヨウカイ</t>
    </rPh>
    <phoneticPr fontId="1"/>
  </si>
  <si>
    <t>ml</t>
    <phoneticPr fontId="1"/>
  </si>
  <si>
    <t>黄色の項目が入力項目です。</t>
    <rPh sb="0" eb="2">
      <t>キイロ</t>
    </rPh>
    <rPh sb="3" eb="5">
      <t>コウモク</t>
    </rPh>
    <rPh sb="6" eb="8">
      <t>ニュウリョク</t>
    </rPh>
    <rPh sb="8" eb="10">
      <t>コウモク</t>
    </rPh>
    <phoneticPr fontId="1"/>
  </si>
  <si>
    <t>白枠の計算値が希望する値になるように入力値を調整してください。</t>
    <rPh sb="0" eb="1">
      <t>シロ</t>
    </rPh>
    <rPh sb="1" eb="2">
      <t>ワク</t>
    </rPh>
    <rPh sb="3" eb="6">
      <t>ケイサンチ</t>
    </rPh>
    <rPh sb="7" eb="9">
      <t>キボウ</t>
    </rPh>
    <rPh sb="11" eb="12">
      <t>アタイ</t>
    </rPh>
    <rPh sb="18" eb="21">
      <t>ニュウリョクチ</t>
    </rPh>
    <rPh sb="22" eb="24">
      <t>チョウセイ</t>
    </rPh>
    <phoneticPr fontId="1"/>
  </si>
  <si>
    <t>カルチコール(Ca)</t>
    <phoneticPr fontId="1"/>
  </si>
  <si>
    <t>ml/kg/day</t>
    <phoneticPr fontId="1"/>
  </si>
  <si>
    <t>【TPN使用の手引き】</t>
    <rPh sb="4" eb="6">
      <t>シヨウ</t>
    </rPh>
    <rPh sb="7" eb="9">
      <t>テビ</t>
    </rPh>
    <phoneticPr fontId="1"/>
  </si>
  <si>
    <t>　 アミノ酸を0.5-1.5g/kg/dayで投与開始し、1日毎に0.5-0.8g/kg/dayずつ増量する。</t>
    <phoneticPr fontId="1"/>
  </si>
  <si>
    <t>　 3.0g/kg/dayを限度とする。</t>
    <phoneticPr fontId="1"/>
  </si>
  <si>
    <t>　 カルチコールとリンは混ぜると沈殿するため、つなぎ替える前に10%TZを30分ほど流す。</t>
    <rPh sb="12" eb="13">
      <t>マ</t>
    </rPh>
    <rPh sb="16" eb="18">
      <t>チンデン</t>
    </rPh>
    <rPh sb="26" eb="27">
      <t>カ</t>
    </rPh>
    <rPh sb="29" eb="30">
      <t>マエ</t>
    </rPh>
    <rPh sb="39" eb="40">
      <t>フン</t>
    </rPh>
    <rPh sb="42" eb="43">
      <t>ナガ</t>
    </rPh>
    <phoneticPr fontId="1"/>
  </si>
  <si>
    <t>　 その後リンと交互に投与する。使用方法については個人差が多いので注意。</t>
    <rPh sb="4" eb="5">
      <t>ゴ</t>
    </rPh>
    <rPh sb="8" eb="10">
      <t>コウゴ</t>
    </rPh>
    <rPh sb="11" eb="13">
      <t>トウヨ</t>
    </rPh>
    <rPh sb="16" eb="18">
      <t>シヨウ</t>
    </rPh>
    <rPh sb="18" eb="20">
      <t>ホウホウ</t>
    </rPh>
    <rPh sb="25" eb="28">
      <t>コジンサ</t>
    </rPh>
    <rPh sb="29" eb="30">
      <t>オオ</t>
    </rPh>
    <rPh sb="33" eb="35">
      <t>チュウイ</t>
    </rPh>
    <phoneticPr fontId="1"/>
  </si>
  <si>
    <t>　 下記の継続指示をカルテに記載する。</t>
    <rPh sb="2" eb="4">
      <t>カキ</t>
    </rPh>
    <rPh sb="5" eb="7">
      <t>ケイゾク</t>
    </rPh>
    <rPh sb="7" eb="9">
      <t>シジ</t>
    </rPh>
    <rPh sb="14" eb="16">
      <t>キサイ</t>
    </rPh>
    <phoneticPr fontId="1"/>
  </si>
  <si>
    <t>　 使用する場合は、必ず利尿があることを確認する。最低限、腎血流やPDAは必ず確認する。</t>
    <phoneticPr fontId="1"/>
  </si>
  <si>
    <t>　（例）1日目0.8g/kg/day→2日目1.6g/kg/day→3日目2.5g/kg/day→4日目以降3.0 g/kg/day</t>
    <phoneticPr fontId="1"/>
  </si>
  <si>
    <t>■合計の量は50mlシリンジに収まるように調整する。</t>
    <rPh sb="1" eb="3">
      <t>ゴウケイ</t>
    </rPh>
    <rPh sb="4" eb="5">
      <t>リョウ</t>
    </rPh>
    <rPh sb="15" eb="16">
      <t>オサ</t>
    </rPh>
    <rPh sb="21" eb="23">
      <t>チョウセイ</t>
    </rPh>
    <phoneticPr fontId="1"/>
  </si>
  <si>
    <t>■ブドウ糖濃度は8-14%内で調整し、GIRを3-5mg/kg/minに調整する。</t>
    <rPh sb="36" eb="38">
      <t>チョウセイ</t>
    </rPh>
    <phoneticPr fontId="1"/>
  </si>
  <si>
    <t>■プレアミン-Pは合計量の半量以下に設定する。</t>
    <phoneticPr fontId="1"/>
  </si>
  <si>
    <t>■カルチコールは最初の3日間2-4ml/kg/dayで開始する。</t>
    <rPh sb="8" eb="10">
      <t>サイショ</t>
    </rPh>
    <rPh sb="12" eb="14">
      <t>ニチカン</t>
    </rPh>
    <rPh sb="27" eb="29">
      <t>カイシ</t>
    </rPh>
    <phoneticPr fontId="1"/>
  </si>
  <si>
    <t>■マルタミンは0.8-1.0ml/kg/day で調整し、エレジェクトはマルタミンの半量にする。</t>
    <phoneticPr fontId="1"/>
  </si>
  <si>
    <t>■ヘパリンは1単位/1mlに調整する。基本的には合計50mlに対し、ヘパリン(5千単位/5ml)を0.05mlで固定。</t>
    <rPh sb="7" eb="9">
      <t>タンイ</t>
    </rPh>
    <rPh sb="14" eb="16">
      <t>チョウセイ</t>
    </rPh>
    <rPh sb="19" eb="22">
      <t>キホンテキ</t>
    </rPh>
    <rPh sb="24" eb="26">
      <t>ゴウケイ</t>
    </rPh>
    <rPh sb="31" eb="32">
      <t>タイ</t>
    </rPh>
    <rPh sb="40" eb="43">
      <t>センタンイ</t>
    </rPh>
    <rPh sb="56" eb="58">
      <t>コテイ</t>
    </rPh>
    <phoneticPr fontId="1"/>
  </si>
  <si>
    <t>■Na 2-4mEq/kg/dayから開始する。</t>
    <rPh sb="19" eb="21">
      <t>カイシ</t>
    </rPh>
    <phoneticPr fontId="1"/>
  </si>
  <si>
    <t>　 10%NaClは生理食塩液の11倍のNa濃度であり、流量の間違いは致命的になる場合があるため要注意。</t>
    <phoneticPr fontId="1"/>
  </si>
  <si>
    <t>■最初に体重・WQ・ミルクの量を入力する。</t>
    <rPh sb="1" eb="3">
      <t>サイショ</t>
    </rPh>
    <rPh sb="4" eb="6">
      <t>タイジュウ</t>
    </rPh>
    <rPh sb="14" eb="15">
      <t>リョウ</t>
    </rPh>
    <rPh sb="16" eb="18">
      <t>ニュウリョク</t>
    </rPh>
    <phoneticPr fontId="1"/>
  </si>
  <si>
    <t>　 WQはSFDは60ml/kg/dayから開始し、1日10ml/kg/dayずつ増量する。光線療法や脱水が疑われる場合には、さらに10ml/kg/dayずつ増量する。</t>
    <rPh sb="22" eb="24">
      <t>カイシ</t>
    </rPh>
    <rPh sb="27" eb="28">
      <t>ニチ</t>
    </rPh>
    <rPh sb="41" eb="43">
      <t>ゾウリョウ</t>
    </rPh>
    <rPh sb="46" eb="50">
      <t>コウセンリョウホウ</t>
    </rPh>
    <rPh sb="51" eb="53">
      <t>ダッスイ</t>
    </rPh>
    <rPh sb="54" eb="55">
      <t>ウタガ</t>
    </rPh>
    <rPh sb="58" eb="60">
      <t>バアイ</t>
    </rPh>
    <rPh sb="79" eb="81">
      <t>ゾウリョウ</t>
    </rPh>
    <phoneticPr fontId="1"/>
  </si>
  <si>
    <t>　 マルタミンはバイアルでしか処方できないので、下記の指示を実施者へのコメントに入力する。</t>
    <rPh sb="15" eb="17">
      <t>ショホウ</t>
    </rPh>
    <rPh sb="24" eb="26">
      <t>カキ</t>
    </rPh>
    <rPh sb="27" eb="29">
      <t>シジ</t>
    </rPh>
    <rPh sb="30" eb="33">
      <t>ジッシシャ</t>
    </rPh>
    <rPh sb="40" eb="42">
      <t>ニュウリョク</t>
    </rPh>
    <phoneticPr fontId="1"/>
  </si>
  <si>
    <t>■硫酸Mgもリン酸Na補正液と混ざると凝固するため、注意が必要。Caと同時に使用は可。</t>
    <rPh sb="1" eb="3">
      <t>リュウサン</t>
    </rPh>
    <rPh sb="8" eb="9">
      <t>サン</t>
    </rPh>
    <rPh sb="11" eb="14">
      <t>ホセイエキ</t>
    </rPh>
    <rPh sb="15" eb="16">
      <t>マ</t>
    </rPh>
    <rPh sb="19" eb="21">
      <t>ギョウコ</t>
    </rPh>
    <rPh sb="26" eb="28">
      <t>チュウイ</t>
    </rPh>
    <rPh sb="29" eb="31">
      <t>ヒツヨウ</t>
    </rPh>
    <rPh sb="35" eb="37">
      <t>ドウジ</t>
    </rPh>
    <rPh sb="38" eb="40">
      <t>シヨウ</t>
    </rPh>
    <rPh sb="41" eb="42">
      <t>カ</t>
    </rPh>
    <phoneticPr fontId="1"/>
  </si>
  <si>
    <t>　 新生児仮死の患者には投与は禁忌（神経学的予後を悪化させるため）。</t>
    <rPh sb="2" eb="7">
      <t>シンセイジカシ</t>
    </rPh>
    <rPh sb="8" eb="10">
      <t>カンジャ</t>
    </rPh>
    <rPh sb="12" eb="14">
      <t>トウヨ</t>
    </rPh>
    <rPh sb="15" eb="17">
      <t>キンキ</t>
    </rPh>
    <rPh sb="18" eb="22">
      <t>シンケイガクテキ</t>
    </rPh>
    <rPh sb="22" eb="24">
      <t>ヨゴ</t>
    </rPh>
    <rPh sb="25" eb="27">
      <t>アッカ</t>
    </rPh>
    <phoneticPr fontId="1"/>
  </si>
  <si>
    <t>　PI（黄緑）ルートより。マルタミンは注射用水10mlで溶解し、うち0.8mlを混注してください。</t>
    <phoneticPr fontId="1"/>
  </si>
  <si>
    <t>10%NaCl</t>
    <phoneticPr fontId="1"/>
  </si>
  <si>
    <t>異常な値が入力されているときに赤字になるように設定していますが、まだ確認不十分のため、参考程度にしてください。</t>
    <rPh sb="0" eb="2">
      <t>イジョウ</t>
    </rPh>
    <rPh sb="3" eb="4">
      <t>アタイ</t>
    </rPh>
    <rPh sb="5" eb="7">
      <t>ニュウリョク</t>
    </rPh>
    <rPh sb="15" eb="17">
      <t>アカジ</t>
    </rPh>
    <rPh sb="23" eb="25">
      <t>セッテイ</t>
    </rPh>
    <rPh sb="34" eb="36">
      <t>カクニン</t>
    </rPh>
    <rPh sb="36" eb="39">
      <t>フジュウブン</t>
    </rPh>
    <rPh sb="43" eb="45">
      <t>サンコウ</t>
    </rPh>
    <rPh sb="45" eb="47">
      <t>テイド</t>
    </rPh>
    <phoneticPr fontId="1"/>
  </si>
  <si>
    <t>■リン酸Na補正液1.3-2.6ml/kg/dayで調整し、血清リン濃度を4-7mg/dl目標とする。</t>
    <rPh sb="3" eb="4">
      <t>サン</t>
    </rPh>
    <rPh sb="6" eb="8">
      <t>ホセイ</t>
    </rPh>
    <rPh sb="8" eb="9">
      <t>エキ</t>
    </rPh>
    <rPh sb="26" eb="28">
      <t>チョウセイ</t>
    </rPh>
    <rPh sb="30" eb="32">
      <t>ケッセイ</t>
    </rPh>
    <rPh sb="34" eb="36">
      <t>ノウド</t>
    </rPh>
    <rPh sb="45" eb="47">
      <t>モクヒョウ</t>
    </rPh>
    <phoneticPr fontId="1"/>
  </si>
  <si>
    <t>　カルチコールとリン酸Na補正液が混ざると凝固します。つなぎ替え時はルートを交換し、10%TZを用いて30分かけ回路内をフラッシュしてください。</t>
    <rPh sb="10" eb="11">
      <t>サン</t>
    </rPh>
    <rPh sb="13" eb="16">
      <t>ホセイエキ</t>
    </rPh>
    <rPh sb="17" eb="18">
      <t>マ</t>
    </rPh>
    <rPh sb="21" eb="23">
      <t>ギョウコ</t>
    </rPh>
    <rPh sb="30" eb="31">
      <t>カ</t>
    </rPh>
    <rPh sb="32" eb="33">
      <t>ジ</t>
    </rPh>
    <rPh sb="38" eb="40">
      <t>コウカン</t>
    </rPh>
    <rPh sb="48" eb="49">
      <t>モチ</t>
    </rPh>
    <rPh sb="53" eb="54">
      <t>フン</t>
    </rPh>
    <rPh sb="56" eb="59">
      <t>カイロナイ</t>
    </rPh>
    <phoneticPr fontId="1"/>
  </si>
  <si>
    <t>　メイン輸液にカリウムが添加してあります。急速に児に入ると、不整脈や心停止等のリスクがあるため、静注や早送りは禁止です。</t>
    <phoneticPr fontId="1"/>
  </si>
  <si>
    <t>　 下記の継続指示をカルテに記載する。</t>
    <rPh sb="2" eb="4">
      <t>カキ</t>
    </rPh>
    <rPh sb="5" eb="7">
      <t>ケイゾク</t>
    </rPh>
    <rPh sb="7" eb="9">
      <t>シジ</t>
    </rPh>
    <rPh sb="14" eb="16">
      <t>キサイ</t>
    </rPh>
    <phoneticPr fontId="1"/>
  </si>
  <si>
    <t>リン酸Na補正液(P)</t>
    <phoneticPr fontId="1"/>
  </si>
  <si>
    <t>2018/5/12 後期研修医 林が作成。質問や変更すべき点などございましたら、PHS(7680)or携帯(08051002347)までご連絡・ご指導ください。</t>
    <rPh sb="10" eb="12">
      <t>コウキ</t>
    </rPh>
    <rPh sb="12" eb="15">
      <t>ケンシュウイ</t>
    </rPh>
    <rPh sb="16" eb="17">
      <t>ハヤシ</t>
    </rPh>
    <rPh sb="18" eb="20">
      <t>サクセイ</t>
    </rPh>
    <rPh sb="21" eb="23">
      <t>シツモン</t>
    </rPh>
    <rPh sb="24" eb="26">
      <t>ヘンコウ</t>
    </rPh>
    <rPh sb="29" eb="30">
      <t>テン</t>
    </rPh>
    <rPh sb="51" eb="53">
      <t>ケイタイ</t>
    </rPh>
    <rPh sb="69" eb="71">
      <t>レンラク</t>
    </rPh>
    <rPh sb="73" eb="75">
      <t>シドウ</t>
    </rPh>
    <phoneticPr fontId="1"/>
  </si>
  <si>
    <t>■アスパラKは、血清Kが4mEq/L以下の場合に、尿中K排泄が十分であることを確認後、1-2mEq/kg/dayで投与開始する。</t>
    <rPh sb="8" eb="10">
      <t>ケッセイ</t>
    </rPh>
    <rPh sb="18" eb="20">
      <t>イカ</t>
    </rPh>
    <rPh sb="21" eb="23">
      <t>バアイ</t>
    </rPh>
    <rPh sb="25" eb="27">
      <t>ニョウチュウ</t>
    </rPh>
    <rPh sb="28" eb="30">
      <t>ハイセツ</t>
    </rPh>
    <rPh sb="31" eb="33">
      <t>ジュウブン</t>
    </rPh>
    <rPh sb="39" eb="42">
      <t>カクニンゴ</t>
    </rPh>
    <rPh sb="57" eb="59">
      <t>トウヨ</t>
    </rPh>
    <rPh sb="59" eb="61">
      <t>カイシ</t>
    </rPh>
    <phoneticPr fontId="1"/>
  </si>
  <si>
    <t>ヴィーンD</t>
    <phoneticPr fontId="1"/>
  </si>
  <si>
    <t>ハルトマン</t>
    <phoneticPr fontId="1"/>
  </si>
  <si>
    <t>フィジオ35</t>
    <phoneticPr fontId="1"/>
  </si>
  <si>
    <t>10%NaCl</t>
    <phoneticPr fontId="1"/>
  </si>
  <si>
    <t>エレジェクト</t>
    <phoneticPr fontId="1"/>
  </si>
  <si>
    <t>リン酸Na補正液</t>
    <rPh sb="2" eb="3">
      <t>サン</t>
    </rPh>
    <rPh sb="5" eb="8">
      <t>ホセイエキ</t>
    </rPh>
    <phoneticPr fontId="1"/>
  </si>
  <si>
    <t>硫酸Mg補正液</t>
    <rPh sb="0" eb="2">
      <t>リュウサン</t>
    </rPh>
    <rPh sb="4" eb="7">
      <t>ホセイエキ</t>
    </rPh>
    <phoneticPr fontId="1"/>
  </si>
  <si>
    <t>50%ブドウ糖</t>
    <rPh sb="6" eb="7">
      <t>トウ</t>
    </rPh>
    <phoneticPr fontId="1"/>
  </si>
  <si>
    <t>プレアミン</t>
    <phoneticPr fontId="1"/>
  </si>
  <si>
    <t>フィジオ140</t>
    <phoneticPr fontId="1"/>
  </si>
  <si>
    <t>ポタコールR</t>
    <phoneticPr fontId="1"/>
  </si>
  <si>
    <t>ml</t>
    <phoneticPr fontId="1"/>
  </si>
  <si>
    <t>ml</t>
    <phoneticPr fontId="1"/>
  </si>
  <si>
    <t>ml</t>
    <phoneticPr fontId="1"/>
  </si>
  <si>
    <t>kg</t>
    <phoneticPr fontId="1"/>
  </si>
  <si>
    <t>≪栄養組成≫</t>
    <rPh sb="1" eb="3">
      <t>エイヨウ</t>
    </rPh>
    <rPh sb="3" eb="5">
      <t>ソセイ</t>
    </rPh>
    <phoneticPr fontId="1"/>
  </si>
  <si>
    <t>≪TPN１≫</t>
    <phoneticPr fontId="1"/>
  </si>
  <si>
    <t>点滴流量</t>
    <rPh sb="0" eb="2">
      <t>テンテキ</t>
    </rPh>
    <rPh sb="2" eb="4">
      <t>リュウリョウ</t>
    </rPh>
    <phoneticPr fontId="1"/>
  </si>
  <si>
    <t>ml/h</t>
    <phoneticPr fontId="1"/>
  </si>
  <si>
    <t>≪TPN2≫</t>
    <phoneticPr fontId="1"/>
  </si>
  <si>
    <t>水分量</t>
    <rPh sb="0" eb="3">
      <t>スイブンリョウ</t>
    </rPh>
    <phoneticPr fontId="1"/>
  </si>
  <si>
    <t>ml/day</t>
    <phoneticPr fontId="1"/>
  </si>
  <si>
    <t>フルカリック1号液</t>
    <rPh sb="7" eb="8">
      <t>ゴウ</t>
    </rPh>
    <rPh sb="8" eb="9">
      <t>エキ</t>
    </rPh>
    <phoneticPr fontId="1"/>
  </si>
  <si>
    <t>フルカリック2号液</t>
    <rPh sb="7" eb="8">
      <t>ゴウ</t>
    </rPh>
    <rPh sb="8" eb="9">
      <t>エキ</t>
    </rPh>
    <phoneticPr fontId="1"/>
  </si>
  <si>
    <t>Glu</t>
    <phoneticPr fontId="1"/>
  </si>
  <si>
    <t>K</t>
    <phoneticPr fontId="1"/>
  </si>
  <si>
    <t>Ca</t>
    <phoneticPr fontId="1"/>
  </si>
  <si>
    <t>mEq/L</t>
    <phoneticPr fontId="1"/>
  </si>
  <si>
    <t>g/L</t>
    <phoneticPr fontId="1"/>
  </si>
  <si>
    <t>20％イントラリポス</t>
    <phoneticPr fontId="1"/>
  </si>
  <si>
    <t>≪TPN1の組成≫</t>
    <rPh sb="6" eb="8">
      <t>ソセイ</t>
    </rPh>
    <phoneticPr fontId="1"/>
  </si>
  <si>
    <t>mg/L</t>
    <phoneticPr fontId="1"/>
  </si>
  <si>
    <t>g/L</t>
    <phoneticPr fontId="1"/>
  </si>
  <si>
    <t>以下の組成で計算</t>
    <rPh sb="0" eb="2">
      <t>イカ</t>
    </rPh>
    <rPh sb="3" eb="5">
      <t>ソセイ</t>
    </rPh>
    <rPh sb="6" eb="8">
      <t>ケイサン</t>
    </rPh>
    <phoneticPr fontId="1"/>
  </si>
  <si>
    <t>≪TPN2の組成≫</t>
    <rPh sb="6" eb="8">
      <t>ソセイ</t>
    </rPh>
    <phoneticPr fontId="1"/>
  </si>
  <si>
    <t>リン酸Na補正液</t>
    <phoneticPr fontId="1"/>
  </si>
  <si>
    <t>mEq/L</t>
    <phoneticPr fontId="1"/>
  </si>
  <si>
    <t>mg/L</t>
    <phoneticPr fontId="1"/>
  </si>
  <si>
    <t>％</t>
    <phoneticPr fontId="1"/>
  </si>
  <si>
    <t>mg/kg/day</t>
    <phoneticPr fontId="1"/>
  </si>
  <si>
    <t>20g/100ml　で約200kcal</t>
    <rPh sb="11" eb="12">
      <t>ヤク</t>
    </rPh>
    <phoneticPr fontId="1"/>
  </si>
  <si>
    <t>GIR</t>
    <phoneticPr fontId="1"/>
  </si>
  <si>
    <t>(1Vを5mlに溶かして混注)</t>
    <rPh sb="8" eb="9">
      <t>ト</t>
    </rPh>
    <rPh sb="12" eb="14">
      <t>コンチュウ</t>
    </rPh>
    <phoneticPr fontId="1"/>
  </si>
  <si>
    <t>体重1kgあたり、1日脂肪として</t>
    <phoneticPr fontId="1"/>
  </si>
  <si>
    <t>2g(本剤10ml)以内を投与</t>
    <rPh sb="13" eb="15">
      <t>トウヨ</t>
    </rPh>
    <phoneticPr fontId="1"/>
  </si>
  <si>
    <t>2018/10/18 後期研修医 林が作成。質問や変更すべき点などございましたら、PHS(7680)or携帯(08051002347)までご連絡・ご指導ください。</t>
    <rPh sb="11" eb="13">
      <t>コウキ</t>
    </rPh>
    <rPh sb="13" eb="16">
      <t>ケンシュウイ</t>
    </rPh>
    <rPh sb="17" eb="18">
      <t>ハヤシ</t>
    </rPh>
    <rPh sb="19" eb="21">
      <t>サクセイ</t>
    </rPh>
    <rPh sb="22" eb="24">
      <t>シツモン</t>
    </rPh>
    <rPh sb="25" eb="27">
      <t>ヘンコウ</t>
    </rPh>
    <rPh sb="30" eb="31">
      <t>テン</t>
    </rPh>
    <rPh sb="52" eb="54">
      <t>ケイタイ</t>
    </rPh>
    <rPh sb="70" eb="72">
      <t>レンラク</t>
    </rPh>
    <rPh sb="74" eb="76">
      <t>シドウ</t>
    </rPh>
    <phoneticPr fontId="1"/>
  </si>
  <si>
    <t>≪輸液組成(TPN1+TPN2+脂肪)≫</t>
    <rPh sb="1" eb="3">
      <t>ユエキ</t>
    </rPh>
    <rPh sb="3" eb="5">
      <t>ソセイ</t>
    </rPh>
    <rPh sb="16" eb="18">
      <t>シボウ</t>
    </rPh>
    <phoneticPr fontId="1"/>
  </si>
  <si>
    <t>ml（1Vを5mlに溶かして混注）</t>
  </si>
  <si>
    <t>ml（1Vを5mlに溶かして混注）</t>
    <phoneticPr fontId="1"/>
  </si>
  <si>
    <t>KCl注20mEqキット</t>
    <rPh sb="3" eb="4">
      <t>チュウ</t>
    </rPh>
    <phoneticPr fontId="1"/>
  </si>
  <si>
    <t>KCl注20mEqキット</t>
    <phoneticPr fontId="1"/>
  </si>
  <si>
    <t>ml</t>
    <phoneticPr fontId="1"/>
  </si>
  <si>
    <t>ビーフリード</t>
    <phoneticPr fontId="1"/>
  </si>
  <si>
    <t>ml</t>
    <phoneticPr fontId="1"/>
  </si>
  <si>
    <t>ml</t>
    <phoneticPr fontId="1"/>
  </si>
  <si>
    <t>ソルデム1輸液</t>
    <rPh sb="5" eb="7">
      <t>ユエキ</t>
    </rPh>
    <phoneticPr fontId="1"/>
  </si>
  <si>
    <t>ポタコールRはヴィーンDと組成は一緒(乳酸などの組成が違う？)</t>
    <rPh sb="13" eb="15">
      <t>ソセイ</t>
    </rPh>
    <rPh sb="16" eb="18">
      <t>イッショ</t>
    </rPh>
    <rPh sb="19" eb="21">
      <t>ニュウサン</t>
    </rPh>
    <rPh sb="24" eb="26">
      <t>ソセイ</t>
    </rPh>
    <rPh sb="27" eb="28">
      <t>チガ</t>
    </rPh>
    <phoneticPr fontId="1"/>
  </si>
  <si>
    <t>mEq/L</t>
    <phoneticPr fontId="1"/>
  </si>
  <si>
    <t>mEq/L</t>
    <phoneticPr fontId="1"/>
  </si>
  <si>
    <t>上記枠内であれば、組成を変更すれば左の表に反映されます。</t>
    <rPh sb="0" eb="2">
      <t>ジョウキ</t>
    </rPh>
    <rPh sb="2" eb="4">
      <t>ワクナイ</t>
    </rPh>
    <rPh sb="9" eb="11">
      <t>ソセイ</t>
    </rPh>
    <rPh sb="12" eb="14">
      <t>ヘンコウ</t>
    </rPh>
    <rPh sb="17" eb="18">
      <t>ヒダリ</t>
    </rPh>
    <rPh sb="19" eb="20">
      <t>ヒョウ</t>
    </rPh>
    <rPh sb="21" eb="23">
      <t>ハンエイ</t>
    </rPh>
    <phoneticPr fontId="1"/>
  </si>
  <si>
    <t>ホーム/書式/シート保護の解除　で編集可能になります。</t>
    <rPh sb="4" eb="6">
      <t>ショシキ</t>
    </rPh>
    <rPh sb="10" eb="12">
      <t>ホゴ</t>
    </rPh>
    <rPh sb="13" eb="15">
      <t>カイジョ</t>
    </rPh>
    <rPh sb="17" eb="19">
      <t>ヘンシュウ</t>
    </rPh>
    <rPh sb="19" eb="21">
      <t>カノウ</t>
    </rPh>
    <phoneticPr fontId="1"/>
  </si>
  <si>
    <t>生理食塩液</t>
    <rPh sb="0" eb="2">
      <t>セイリ</t>
    </rPh>
    <rPh sb="2" eb="4">
      <t>ショクエン</t>
    </rPh>
    <rPh sb="4" eb="5">
      <t>エキ</t>
    </rPh>
    <phoneticPr fontId="1"/>
  </si>
  <si>
    <t>5%ブドウ糖液</t>
    <rPh sb="5" eb="7">
      <t>トウエキ</t>
    </rPh>
    <phoneticPr fontId="1"/>
  </si>
  <si>
    <t>投与時間</t>
    <rPh sb="0" eb="4">
      <t>トウヨジカン</t>
    </rPh>
    <phoneticPr fontId="1"/>
  </si>
  <si>
    <t>投与時間/本</t>
    <rPh sb="0" eb="4">
      <t>トウヨジカン</t>
    </rPh>
    <rPh sb="5" eb="6">
      <t>ホン</t>
    </rPh>
    <phoneticPr fontId="1"/>
  </si>
  <si>
    <t>h</t>
    <phoneticPr fontId="1"/>
  </si>
  <si>
    <t>ルート内濃度</t>
    <rPh sb="3" eb="4">
      <t>ナイ</t>
    </rPh>
    <rPh sb="4" eb="6">
      <t>ノウド</t>
    </rPh>
    <phoneticPr fontId="1"/>
  </si>
  <si>
    <t>カロリー</t>
    <phoneticPr fontId="1"/>
  </si>
  <si>
    <t>kcal/day</t>
    <phoneticPr fontId="1"/>
  </si>
  <si>
    <t>フルカリック1号液(903ml)</t>
    <rPh sb="7" eb="8">
      <t>ゴウ</t>
    </rPh>
    <rPh sb="8" eb="9">
      <t>エキ</t>
    </rPh>
    <phoneticPr fontId="1"/>
  </si>
  <si>
    <t>フルカリック2号液(1003ml)</t>
    <rPh sb="7" eb="8">
      <t>ゴウ</t>
    </rPh>
    <rPh sb="8" eb="9">
      <t>エキ</t>
    </rPh>
    <phoneticPr fontId="1"/>
  </si>
  <si>
    <t>メイロン静注7%</t>
  </si>
  <si>
    <t>ml</t>
    <phoneticPr fontId="1"/>
  </si>
  <si>
    <t>ml</t>
    <phoneticPr fontId="1"/>
  </si>
  <si>
    <t>K1日量</t>
    <phoneticPr fontId="1"/>
  </si>
  <si>
    <t>mEq/日</t>
  </si>
  <si>
    <t>K1日量</t>
    <phoneticPr fontId="1"/>
  </si>
  <si>
    <t>ソリューゲンF</t>
    <phoneticPr fontId="1"/>
  </si>
  <si>
    <t>ml</t>
    <phoneticPr fontId="1"/>
  </si>
  <si>
    <t>Na1日量</t>
    <rPh sb="3" eb="5">
      <t>ニチリョウ</t>
    </rPh>
    <phoneticPr fontId="1"/>
  </si>
  <si>
    <t>mEq/day</t>
    <phoneticPr fontId="1"/>
  </si>
  <si>
    <t>mEq/day</t>
    <phoneticPr fontId="1"/>
  </si>
  <si>
    <t>K1日量</t>
    <rPh sb="2" eb="4">
      <t>ニチリョウ</t>
    </rPh>
    <phoneticPr fontId="1"/>
  </si>
  <si>
    <t>Na1日量</t>
    <rPh sb="3" eb="5">
      <t>ニチリョウ</t>
    </rPh>
    <phoneticPr fontId="1"/>
  </si>
  <si>
    <t>mEq/day</t>
    <phoneticPr fontId="1"/>
  </si>
  <si>
    <t>g/day</t>
    <phoneticPr fontId="1"/>
  </si>
  <si>
    <t>重炭酸</t>
    <rPh sb="0" eb="3">
      <t>ジュウタンサン</t>
    </rPh>
    <phoneticPr fontId="1"/>
  </si>
  <si>
    <t>mEq/L</t>
    <phoneticPr fontId="1"/>
  </si>
  <si>
    <t>重炭酸(ﾙｰﾄ内)</t>
    <rPh sb="0" eb="3">
      <t>ジュウタンサン</t>
    </rPh>
    <rPh sb="7" eb="8">
      <t>ナイ</t>
    </rPh>
    <phoneticPr fontId="1"/>
  </si>
  <si>
    <t>重炭酸1日量</t>
    <phoneticPr fontId="1"/>
  </si>
  <si>
    <t>mEq/day</t>
    <phoneticPr fontId="1"/>
  </si>
  <si>
    <t>mEq/kg/day</t>
    <phoneticPr fontId="1"/>
  </si>
  <si>
    <t>≪輸液組成(TPN1+TPN2+脂肪)≫</t>
    <phoneticPr fontId="1"/>
  </si>
  <si>
    <t>ml/㎡/day</t>
    <phoneticPr fontId="1"/>
  </si>
  <si>
    <t>身長</t>
    <rPh sb="0" eb="2">
      <t>シンチョウ</t>
    </rPh>
    <phoneticPr fontId="1"/>
  </si>
  <si>
    <t>cm</t>
    <phoneticPr fontId="1"/>
  </si>
  <si>
    <t>体表面積</t>
    <rPh sb="0" eb="4">
      <t>タイヒョウメンセキ</t>
    </rPh>
    <phoneticPr fontId="1"/>
  </si>
  <si>
    <t>㎡</t>
    <phoneticPr fontId="1"/>
  </si>
  <si>
    <r>
      <t>ヘパリンNa</t>
    </r>
    <r>
      <rPr>
        <sz val="9"/>
        <color theme="1"/>
        <rFont val="ＭＳ Ｐゴシック"/>
        <family val="3"/>
        <charset val="128"/>
        <scheme val="minor"/>
      </rPr>
      <t xml:space="preserve"> 5千単位/5mL</t>
    </r>
    <rPh sb="8" eb="11">
      <t>センタンイ</t>
    </rPh>
    <phoneticPr fontId="1"/>
  </si>
  <si>
    <r>
      <t xml:space="preserve">ヘパリンNa </t>
    </r>
    <r>
      <rPr>
        <sz val="8"/>
        <color theme="1"/>
        <rFont val="ＭＳ Ｐゴシック"/>
        <family val="3"/>
        <charset val="128"/>
        <scheme val="minor"/>
      </rPr>
      <t>5千単位/5mL</t>
    </r>
    <phoneticPr fontId="1"/>
  </si>
  <si>
    <t>ヘパリンNa 5千単位/5mL</t>
    <phoneticPr fontId="1"/>
  </si>
  <si>
    <t>ヘパリン</t>
    <phoneticPr fontId="1"/>
  </si>
  <si>
    <t>単位/mL</t>
    <rPh sb="0" eb="2">
      <t>タンイ</t>
    </rPh>
    <phoneticPr fontId="1"/>
  </si>
  <si>
    <t>ml</t>
    <phoneticPr fontId="1"/>
  </si>
  <si>
    <t>フルスルチアミン</t>
    <phoneticPr fontId="1"/>
  </si>
  <si>
    <t>ビタメジン</t>
    <phoneticPr fontId="1"/>
  </si>
  <si>
    <t>ヴィーンF</t>
    <phoneticPr fontId="1"/>
  </si>
  <si>
    <r>
      <t>ヘパリンNa</t>
    </r>
    <r>
      <rPr>
        <sz val="9"/>
        <color theme="1"/>
        <rFont val="ＭＳ Ｐゴシック"/>
        <family val="3"/>
        <charset val="128"/>
        <scheme val="minor"/>
      </rPr>
      <t xml:space="preserve"> 5千単位/5mL</t>
    </r>
    <phoneticPr fontId="1"/>
  </si>
  <si>
    <t>1Vを5mlに溶解して混注</t>
    <rPh sb="7" eb="9">
      <t>ヨウカイ</t>
    </rPh>
    <rPh sb="11" eb="13">
      <t>コンチュウ</t>
    </rPh>
    <phoneticPr fontId="1"/>
  </si>
  <si>
    <t>1Vを20mlに溶解して混注</t>
    <rPh sb="8" eb="10">
      <t>ヨウカイ</t>
    </rPh>
    <rPh sb="12" eb="14">
      <t>コンチュウ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</si>
</sst>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Red]\(0.00\)"/>
    <numFmt numFmtId="177" formatCode="0.0_);[Red]\(0.0\)"/>
    <numFmt numFmtId="178" formatCode="0.0%"/>
    <numFmt numFmtId="179" formatCode="0_);[Red]\(0\)"/>
    <numFmt numFmtId="180" formatCode="0.00_ "/>
    <numFmt numFmtId="181" formatCode="0.0_ "/>
    <numFmt numFmtId="182" formatCode="0.0"/>
  </numFmts>
  <fonts count="7" x14ac:knownFonts="1">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sz val="11"/>
      <color theme="1"/>
      <name val="ＭＳ Ｐゴシック"/>
      <family val="3"/>
      <charset val="128"/>
      <scheme val="minor"/>
    </font>
    <font>
      <sz val="9"/>
      <color theme="1"/>
      <name val="ＭＳ Ｐゴシック"/>
      <family val="3"/>
      <charset val="128"/>
      <scheme val="minor"/>
    </font>
    <font>
      <sz val="8"/>
      <color theme="1"/>
      <name val="ＭＳ Ｐゴシック"/>
      <family val="3"/>
      <charset val="128"/>
      <scheme val="minor"/>
    </font>
    <font>
      <sz val="10"/>
      <color theme="1"/>
      <name val="ＭＳ Ｐゴシック"/>
      <family val="2"/>
      <charset val="128"/>
      <scheme val="minor"/>
    </font>
  </fonts>
  <fills count="11">
    <fill>
      <patternFill patternType="none"/>
    </fill>
    <fill>
      <patternFill patternType="gray125"/>
    </fill>
    <fill>
      <patternFill patternType="solid">
        <fgColor rgb="FFFFFF00"/>
        <bgColor indexed="64"/>
      </patternFill>
    </fill>
    <fill>
      <patternFill patternType="solid">
        <fgColor rgb="FFFFFF99"/>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66FF99"/>
        <bgColor indexed="64"/>
      </patternFill>
    </fill>
    <fill>
      <patternFill patternType="solid">
        <fgColor rgb="FFFFFFCC"/>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dashDot">
        <color indexed="64"/>
      </left>
      <right/>
      <top style="medium">
        <color indexed="64"/>
      </top>
      <bottom/>
      <diagonal/>
    </border>
    <border>
      <left style="dashDot">
        <color indexed="64"/>
      </left>
      <right/>
      <top/>
      <bottom/>
      <diagonal/>
    </border>
    <border>
      <left style="dashDot">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dashDot">
        <color indexed="64"/>
      </right>
      <top style="medium">
        <color indexed="64"/>
      </top>
      <bottom/>
      <diagonal/>
    </border>
    <border>
      <left/>
      <right style="dashDot">
        <color indexed="64"/>
      </right>
      <top/>
      <bottom/>
      <diagonal/>
    </border>
    <border>
      <left/>
      <right style="dashDot">
        <color indexed="64"/>
      </right>
      <top/>
      <bottom style="medium">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right style="dashDot">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rgb="FF92D050"/>
      </right>
      <top style="thin">
        <color indexed="64"/>
      </top>
      <bottom style="thin">
        <color rgb="FF92D050"/>
      </bottom>
      <diagonal/>
    </border>
    <border>
      <left style="thin">
        <color rgb="FF92D050"/>
      </left>
      <right style="thin">
        <color rgb="FF92D050"/>
      </right>
      <top style="thin">
        <color indexed="64"/>
      </top>
      <bottom style="thin">
        <color rgb="FF92D050"/>
      </bottom>
      <diagonal/>
    </border>
    <border>
      <left style="thin">
        <color rgb="FF92D050"/>
      </left>
      <right style="thin">
        <color indexed="64"/>
      </right>
      <top style="thin">
        <color indexed="64"/>
      </top>
      <bottom style="thin">
        <color rgb="FF92D050"/>
      </bottom>
      <diagonal/>
    </border>
    <border>
      <left style="thin">
        <color indexed="64"/>
      </left>
      <right style="thin">
        <color rgb="FF92D050"/>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style="thin">
        <color indexed="64"/>
      </right>
      <top style="thin">
        <color rgb="FF92D050"/>
      </top>
      <bottom style="thin">
        <color rgb="FF92D050"/>
      </bottom>
      <diagonal/>
    </border>
    <border>
      <left style="thin">
        <color indexed="64"/>
      </left>
      <right style="thin">
        <color rgb="FF92D050"/>
      </right>
      <top style="thin">
        <color rgb="FF92D050"/>
      </top>
      <bottom style="thin">
        <color indexed="64"/>
      </bottom>
      <diagonal/>
    </border>
    <border>
      <left style="thin">
        <color rgb="FF92D050"/>
      </left>
      <right style="thin">
        <color rgb="FF92D050"/>
      </right>
      <top style="thin">
        <color rgb="FF92D050"/>
      </top>
      <bottom style="thin">
        <color indexed="64"/>
      </bottom>
      <diagonal/>
    </border>
    <border>
      <left style="thin">
        <color rgb="FF92D050"/>
      </left>
      <right style="thin">
        <color indexed="64"/>
      </right>
      <top style="thin">
        <color rgb="FF92D050"/>
      </top>
      <bottom style="thin">
        <color indexed="64"/>
      </bottom>
      <diagonal/>
    </border>
  </borders>
  <cellStyleXfs count="1">
    <xf numFmtId="0" fontId="0" fillId="0" borderId="0">
      <alignment vertical="center"/>
    </xf>
  </cellStyleXfs>
  <cellXfs count="219">
    <xf numFmtId="0" fontId="0" fillId="0" borderId="0" xfId="0">
      <alignment vertical="center"/>
    </xf>
    <xf numFmtId="0" fontId="0" fillId="2" borderId="0" xfId="0" applyFill="1">
      <alignment vertical="center"/>
    </xf>
    <xf numFmtId="176" fontId="0" fillId="0" borderId="0" xfId="0" applyNumberFormat="1">
      <alignment vertical="center"/>
    </xf>
    <xf numFmtId="176" fontId="0" fillId="2" borderId="0" xfId="0" applyNumberFormat="1" applyFill="1">
      <alignment vertical="center"/>
    </xf>
    <xf numFmtId="177" fontId="0" fillId="0" borderId="0" xfId="0" applyNumberFormat="1">
      <alignment vertical="center"/>
    </xf>
    <xf numFmtId="177" fontId="0" fillId="2" borderId="0" xfId="0" applyNumberFormat="1" applyFill="1">
      <alignment vertical="center"/>
    </xf>
    <xf numFmtId="177" fontId="0" fillId="0" borderId="1" xfId="0" applyNumberFormat="1" applyBorder="1">
      <alignment vertical="center"/>
    </xf>
    <xf numFmtId="178" fontId="0" fillId="0" borderId="1" xfId="0" applyNumberFormat="1" applyBorder="1">
      <alignment vertical="center"/>
    </xf>
    <xf numFmtId="176" fontId="0" fillId="0" borderId="1" xfId="0" applyNumberFormat="1" applyBorder="1">
      <alignment vertical="center"/>
    </xf>
    <xf numFmtId="10" fontId="0" fillId="0" borderId="1" xfId="0" applyNumberFormat="1" applyBorder="1">
      <alignment vertical="center"/>
    </xf>
    <xf numFmtId="179" fontId="0" fillId="2" borderId="0" xfId="0" applyNumberFormat="1" applyFill="1">
      <alignment vertical="center"/>
    </xf>
    <xf numFmtId="177" fontId="0" fillId="0" borderId="0" xfId="0" applyNumberFormat="1" applyFill="1" applyBorder="1">
      <alignment vertical="center"/>
    </xf>
    <xf numFmtId="179" fontId="0" fillId="0" borderId="1" xfId="0" applyNumberFormat="1" applyBorder="1">
      <alignment vertical="center"/>
    </xf>
    <xf numFmtId="0" fontId="0" fillId="0" borderId="1" xfId="0" applyBorder="1">
      <alignment vertical="center"/>
    </xf>
    <xf numFmtId="0" fontId="2" fillId="0" borderId="0" xfId="0" applyFont="1">
      <alignment vertical="center"/>
    </xf>
    <xf numFmtId="176" fontId="0" fillId="3" borderId="0" xfId="0" applyNumberFormat="1" applyFill="1" applyBorder="1">
      <alignment vertical="center"/>
    </xf>
    <xf numFmtId="0" fontId="0" fillId="0" borderId="1" xfId="0" applyNumberFormat="1" applyBorder="1">
      <alignment vertical="center"/>
    </xf>
    <xf numFmtId="181" fontId="0" fillId="0" borderId="1" xfId="0" applyNumberFormat="1" applyBorder="1">
      <alignment vertical="center"/>
    </xf>
    <xf numFmtId="177" fontId="2" fillId="0" borderId="0" xfId="0" applyNumberFormat="1" applyFont="1">
      <alignment vertical="center"/>
    </xf>
    <xf numFmtId="0" fontId="2" fillId="0" borderId="2" xfId="0" applyFont="1"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177" fontId="0" fillId="2" borderId="0" xfId="0" applyNumberFormat="1" applyFill="1" applyBorder="1">
      <alignment vertical="center"/>
    </xf>
    <xf numFmtId="0" fontId="0" fillId="0" borderId="6" xfId="0" applyBorder="1">
      <alignment vertical="center"/>
    </xf>
    <xf numFmtId="0" fontId="2" fillId="0" borderId="5" xfId="0" applyFont="1" applyBorder="1">
      <alignment vertical="center"/>
    </xf>
    <xf numFmtId="0" fontId="2" fillId="0" borderId="7" xfId="0" applyFont="1" applyBorder="1">
      <alignment vertical="center"/>
    </xf>
    <xf numFmtId="0" fontId="0" fillId="2" borderId="8" xfId="0" applyFill="1" applyBorder="1">
      <alignment vertical="center"/>
    </xf>
    <xf numFmtId="0" fontId="0" fillId="0" borderId="9" xfId="0" applyBorder="1">
      <alignment vertical="center"/>
    </xf>
    <xf numFmtId="177" fontId="2" fillId="0" borderId="2" xfId="0" applyNumberFormat="1" applyFont="1" applyBorder="1">
      <alignment vertical="center"/>
    </xf>
    <xf numFmtId="177" fontId="0" fillId="0" borderId="3" xfId="0" applyNumberFormat="1" applyBorder="1">
      <alignment vertical="center"/>
    </xf>
    <xf numFmtId="177" fontId="0" fillId="0" borderId="4" xfId="0" applyNumberFormat="1" applyBorder="1">
      <alignment vertical="center"/>
    </xf>
    <xf numFmtId="177" fontId="0" fillId="0" borderId="5" xfId="0" applyNumberFormat="1" applyBorder="1">
      <alignment vertical="center"/>
    </xf>
    <xf numFmtId="177" fontId="0" fillId="0" borderId="6" xfId="0" applyNumberFormat="1" applyBorder="1">
      <alignment vertical="center"/>
    </xf>
    <xf numFmtId="177" fontId="0" fillId="0" borderId="7" xfId="0" applyNumberFormat="1" applyBorder="1">
      <alignment vertical="center"/>
    </xf>
    <xf numFmtId="177" fontId="0" fillId="2" borderId="8" xfId="0" applyNumberFormat="1" applyFill="1" applyBorder="1">
      <alignment vertical="center"/>
    </xf>
    <xf numFmtId="177" fontId="0" fillId="0" borderId="9" xfId="0" applyNumberFormat="1" applyBorder="1">
      <alignment vertical="center"/>
    </xf>
    <xf numFmtId="0" fontId="0" fillId="0" borderId="0" xfId="0" applyBorder="1">
      <alignment vertical="center"/>
    </xf>
    <xf numFmtId="177" fontId="0" fillId="0" borderId="0" xfId="0" applyNumberFormat="1" applyBorder="1">
      <alignment vertical="center"/>
    </xf>
    <xf numFmtId="0" fontId="0" fillId="0" borderId="8" xfId="0" applyBorder="1">
      <alignment vertical="center"/>
    </xf>
    <xf numFmtId="177" fontId="0" fillId="0" borderId="8" xfId="0" applyNumberFormat="1" applyBorder="1">
      <alignment vertical="center"/>
    </xf>
    <xf numFmtId="177" fontId="0" fillId="0" borderId="10" xfId="0" applyNumberFormat="1" applyBorder="1">
      <alignment vertical="center"/>
    </xf>
    <xf numFmtId="177" fontId="0" fillId="2" borderId="11" xfId="0" applyNumberFormat="1" applyFill="1" applyBorder="1">
      <alignment vertical="center"/>
    </xf>
    <xf numFmtId="177" fontId="0" fillId="0" borderId="12" xfId="0" applyNumberFormat="1" applyBorder="1">
      <alignment vertical="center"/>
    </xf>
    <xf numFmtId="177" fontId="0" fillId="4" borderId="1" xfId="0" applyNumberFormat="1" applyFill="1" applyBorder="1">
      <alignment vertical="center"/>
    </xf>
    <xf numFmtId="0" fontId="0" fillId="4" borderId="0" xfId="0" applyFill="1" applyBorder="1">
      <alignment vertical="center"/>
    </xf>
    <xf numFmtId="0" fontId="0" fillId="4" borderId="6" xfId="0" applyFill="1" applyBorder="1">
      <alignment vertical="center"/>
    </xf>
    <xf numFmtId="0" fontId="0" fillId="4" borderId="1" xfId="0" applyFill="1" applyBorder="1">
      <alignment vertical="center"/>
    </xf>
    <xf numFmtId="179" fontId="0" fillId="4" borderId="1" xfId="0" applyNumberFormat="1" applyFill="1" applyBorder="1">
      <alignment vertical="center"/>
    </xf>
    <xf numFmtId="176" fontId="0" fillId="4" borderId="1" xfId="0" applyNumberFormat="1" applyFill="1" applyBorder="1">
      <alignment vertical="center"/>
    </xf>
    <xf numFmtId="180" fontId="0" fillId="4" borderId="1" xfId="0" applyNumberFormat="1" applyFill="1" applyBorder="1">
      <alignment vertical="center"/>
    </xf>
    <xf numFmtId="181" fontId="0" fillId="4" borderId="1" xfId="0" applyNumberFormat="1" applyFill="1" applyBorder="1">
      <alignment vertical="center"/>
    </xf>
    <xf numFmtId="177" fontId="0" fillId="4" borderId="13" xfId="0" applyNumberFormat="1" applyFill="1" applyBorder="1">
      <alignment vertical="center"/>
    </xf>
    <xf numFmtId="177" fontId="0" fillId="5" borderId="3" xfId="0" applyNumberFormat="1" applyFill="1" applyBorder="1">
      <alignment vertical="center"/>
    </xf>
    <xf numFmtId="177" fontId="0" fillId="5" borderId="4" xfId="0" applyNumberFormat="1" applyFill="1" applyBorder="1">
      <alignment vertical="center"/>
    </xf>
    <xf numFmtId="177" fontId="0" fillId="5" borderId="5" xfId="0" applyNumberFormat="1" applyFill="1" applyBorder="1">
      <alignment vertical="center"/>
    </xf>
    <xf numFmtId="177" fontId="0" fillId="5" borderId="1" xfId="0" applyNumberFormat="1" applyFill="1" applyBorder="1">
      <alignment vertical="center"/>
    </xf>
    <xf numFmtId="0" fontId="0" fillId="5" borderId="5" xfId="0" applyFill="1" applyBorder="1">
      <alignment vertical="center"/>
    </xf>
    <xf numFmtId="0" fontId="0" fillId="5" borderId="0" xfId="0" applyFill="1" applyBorder="1">
      <alignment vertical="center"/>
    </xf>
    <xf numFmtId="0" fontId="0" fillId="5" borderId="6" xfId="0" applyFill="1" applyBorder="1">
      <alignment vertical="center"/>
    </xf>
    <xf numFmtId="0" fontId="0" fillId="5" borderId="1" xfId="0" applyFill="1" applyBorder="1">
      <alignment vertical="center"/>
    </xf>
    <xf numFmtId="179" fontId="0" fillId="5" borderId="1" xfId="0" applyNumberFormat="1" applyFill="1" applyBorder="1">
      <alignment vertical="center"/>
    </xf>
    <xf numFmtId="177" fontId="0" fillId="5" borderId="6" xfId="0" applyNumberFormat="1" applyFill="1" applyBorder="1">
      <alignment vertical="center"/>
    </xf>
    <xf numFmtId="176" fontId="0" fillId="5" borderId="1" xfId="0" applyNumberFormat="1" applyFill="1" applyBorder="1">
      <alignment vertical="center"/>
    </xf>
    <xf numFmtId="180" fontId="0" fillId="5" borderId="1" xfId="0" applyNumberFormat="1" applyFill="1" applyBorder="1">
      <alignment vertical="center"/>
    </xf>
    <xf numFmtId="181" fontId="0" fillId="5" borderId="1" xfId="0" applyNumberFormat="1" applyFill="1" applyBorder="1">
      <alignment vertical="center"/>
    </xf>
    <xf numFmtId="177" fontId="0" fillId="5" borderId="7" xfId="0" applyNumberFormat="1" applyFill="1" applyBorder="1">
      <alignment vertical="center"/>
    </xf>
    <xf numFmtId="177" fontId="0" fillId="5" borderId="13" xfId="0" applyNumberFormat="1" applyFill="1" applyBorder="1">
      <alignment vertical="center"/>
    </xf>
    <xf numFmtId="177" fontId="0" fillId="5" borderId="9" xfId="0" applyNumberFormat="1" applyFill="1" applyBorder="1">
      <alignment vertical="center"/>
    </xf>
    <xf numFmtId="177" fontId="0" fillId="6" borderId="3" xfId="0" applyNumberFormat="1" applyFill="1" applyBorder="1">
      <alignment vertical="center"/>
    </xf>
    <xf numFmtId="177" fontId="0" fillId="6" borderId="1" xfId="0" applyNumberFormat="1" applyFill="1" applyBorder="1">
      <alignment vertical="center"/>
    </xf>
    <xf numFmtId="177" fontId="0" fillId="6" borderId="13" xfId="0" applyNumberFormat="1" applyFill="1" applyBorder="1">
      <alignment vertical="center"/>
    </xf>
    <xf numFmtId="177" fontId="2" fillId="0" borderId="3" xfId="0" applyNumberFormat="1" applyFont="1" applyFill="1" applyBorder="1">
      <alignment vertical="center"/>
    </xf>
    <xf numFmtId="0" fontId="0" fillId="0" borderId="0" xfId="0" applyFill="1" applyBorder="1">
      <alignment vertical="center"/>
    </xf>
    <xf numFmtId="177" fontId="0" fillId="5" borderId="0" xfId="0" applyNumberFormat="1" applyFill="1" applyBorder="1">
      <alignment vertical="center"/>
    </xf>
    <xf numFmtId="178" fontId="0" fillId="5" borderId="6" xfId="0" applyNumberFormat="1" applyFill="1" applyBorder="1">
      <alignment vertical="center"/>
    </xf>
    <xf numFmtId="177" fontId="0" fillId="5" borderId="8" xfId="0" applyNumberFormat="1" applyFill="1" applyBorder="1">
      <alignment vertical="center"/>
    </xf>
    <xf numFmtId="178" fontId="0" fillId="5" borderId="9" xfId="0" applyNumberFormat="1" applyFill="1" applyBorder="1">
      <alignment vertical="center"/>
    </xf>
    <xf numFmtId="0" fontId="0" fillId="5" borderId="3" xfId="0" applyFill="1" applyBorder="1">
      <alignment vertical="center"/>
    </xf>
    <xf numFmtId="0" fontId="0" fillId="5" borderId="4" xfId="0" applyFill="1" applyBorder="1">
      <alignment vertical="center"/>
    </xf>
    <xf numFmtId="177" fontId="2" fillId="5" borderId="2" xfId="0" applyNumberFormat="1" applyFont="1" applyFill="1" applyBorder="1">
      <alignment vertical="center"/>
    </xf>
    <xf numFmtId="177" fontId="0" fillId="4" borderId="0" xfId="0" applyNumberFormat="1" applyFill="1" applyBorder="1">
      <alignment vertical="center"/>
    </xf>
    <xf numFmtId="177" fontId="2" fillId="4" borderId="2" xfId="0" applyNumberFormat="1" applyFont="1" applyFill="1" applyBorder="1">
      <alignment vertical="center"/>
    </xf>
    <xf numFmtId="0" fontId="0" fillId="4" borderId="3" xfId="0" applyFill="1" applyBorder="1">
      <alignment vertical="center"/>
    </xf>
    <xf numFmtId="0" fontId="0" fillId="4" borderId="4" xfId="0" applyFill="1" applyBorder="1">
      <alignment vertical="center"/>
    </xf>
    <xf numFmtId="177" fontId="0" fillId="4" borderId="8" xfId="0" applyNumberFormat="1" applyFill="1" applyBorder="1">
      <alignment vertical="center"/>
    </xf>
    <xf numFmtId="0" fontId="0" fillId="4" borderId="8" xfId="0" applyFill="1" applyBorder="1">
      <alignment vertical="center"/>
    </xf>
    <xf numFmtId="0" fontId="0" fillId="4" borderId="9" xfId="0" applyFill="1" applyBorder="1">
      <alignment vertical="center"/>
    </xf>
    <xf numFmtId="177" fontId="2" fillId="6" borderId="2" xfId="0" applyNumberFormat="1" applyFont="1" applyFill="1" applyBorder="1">
      <alignment vertical="center"/>
    </xf>
    <xf numFmtId="177" fontId="0" fillId="2" borderId="11" xfId="0" applyNumberFormat="1" applyFill="1" applyBorder="1" applyProtection="1">
      <alignment vertical="center"/>
      <protection locked="0"/>
    </xf>
    <xf numFmtId="177" fontId="0" fillId="2" borderId="0" xfId="0" applyNumberFormat="1" applyFill="1" applyBorder="1" applyProtection="1">
      <alignment vertical="center"/>
      <protection locked="0"/>
    </xf>
    <xf numFmtId="0" fontId="0" fillId="2" borderId="8" xfId="0" applyFill="1" applyBorder="1" applyProtection="1">
      <alignment vertical="center"/>
      <protection locked="0"/>
    </xf>
    <xf numFmtId="177" fontId="0" fillId="2" borderId="8" xfId="0" applyNumberFormat="1" applyFill="1" applyBorder="1" applyProtection="1">
      <alignment vertical="center"/>
      <protection locked="0"/>
    </xf>
    <xf numFmtId="0" fontId="0" fillId="0" borderId="5" xfId="0" applyBorder="1" applyAlignment="1">
      <alignment horizontal="center" vertical="center"/>
    </xf>
    <xf numFmtId="177" fontId="0" fillId="4" borderId="5" xfId="0" applyNumberFormat="1" applyFill="1" applyBorder="1" applyAlignment="1">
      <alignment horizontal="center" vertical="center"/>
    </xf>
    <xf numFmtId="177" fontId="0" fillId="4" borderId="7" xfId="0" applyNumberFormat="1" applyFill="1" applyBorder="1" applyAlignment="1">
      <alignment horizontal="center" vertical="center"/>
    </xf>
    <xf numFmtId="177" fontId="0" fillId="0" borderId="0" xfId="0" applyNumberFormat="1" applyBorder="1" applyAlignment="1">
      <alignment horizontal="center" vertical="center"/>
    </xf>
    <xf numFmtId="0" fontId="0" fillId="0" borderId="0" xfId="0" applyBorder="1" applyAlignment="1">
      <alignment horizontal="center" vertical="center"/>
    </xf>
    <xf numFmtId="177" fontId="0" fillId="0" borderId="0" xfId="0" applyNumberFormat="1" applyFill="1" applyBorder="1" applyAlignment="1">
      <alignment horizontal="center" vertical="center"/>
    </xf>
    <xf numFmtId="177" fontId="0" fillId="0" borderId="5" xfId="0" applyNumberFormat="1" applyBorder="1" applyAlignment="1">
      <alignment horizontal="center" vertical="center"/>
    </xf>
    <xf numFmtId="177" fontId="0" fillId="0" borderId="7" xfId="0" applyNumberFormat="1" applyBorder="1" applyAlignment="1">
      <alignment horizontal="center" vertical="center"/>
    </xf>
    <xf numFmtId="177" fontId="0" fillId="6" borderId="5" xfId="0" applyNumberFormat="1" applyFill="1" applyBorder="1" applyAlignment="1">
      <alignment horizontal="center" vertical="center"/>
    </xf>
    <xf numFmtId="177" fontId="0" fillId="6" borderId="7" xfId="0" applyNumberFormat="1" applyFill="1" applyBorder="1" applyAlignment="1">
      <alignment horizontal="center" vertical="center"/>
    </xf>
    <xf numFmtId="177" fontId="0" fillId="0" borderId="10" xfId="0" applyNumberFormat="1" applyBorder="1" applyAlignment="1">
      <alignment horizontal="center" vertical="center"/>
    </xf>
    <xf numFmtId="0" fontId="0" fillId="4" borderId="14" xfId="0" applyFill="1" applyBorder="1">
      <alignment vertical="center"/>
    </xf>
    <xf numFmtId="177" fontId="0" fillId="4" borderId="15" xfId="0" applyNumberFormat="1" applyFill="1" applyBorder="1" applyAlignment="1">
      <alignment horizontal="center" vertical="center"/>
    </xf>
    <xf numFmtId="177" fontId="0" fillId="4" borderId="16" xfId="0" applyNumberFormat="1" applyFill="1" applyBorder="1" applyAlignment="1">
      <alignment horizontal="center" vertical="center"/>
    </xf>
    <xf numFmtId="0" fontId="0" fillId="4" borderId="15" xfId="0" applyFill="1" applyBorder="1" applyAlignment="1">
      <alignment horizontal="center" vertical="center"/>
    </xf>
    <xf numFmtId="0" fontId="0" fillId="4" borderId="15" xfId="0" applyFill="1" applyBorder="1">
      <alignment vertical="center"/>
    </xf>
    <xf numFmtId="0" fontId="0" fillId="4" borderId="16" xfId="0" applyFill="1" applyBorder="1">
      <alignment vertical="center"/>
    </xf>
    <xf numFmtId="177" fontId="0" fillId="4" borderId="6" xfId="0" applyNumberFormat="1" applyFill="1" applyBorder="1">
      <alignment vertical="center"/>
    </xf>
    <xf numFmtId="177" fontId="0" fillId="6" borderId="4" xfId="0" applyNumberFormat="1" applyFill="1" applyBorder="1">
      <alignment vertical="center"/>
    </xf>
    <xf numFmtId="178" fontId="0" fillId="6" borderId="17" xfId="0" applyNumberFormat="1" applyFill="1" applyBorder="1" applyAlignment="1">
      <alignment vertical="center"/>
    </xf>
    <xf numFmtId="178" fontId="0" fillId="6" borderId="18" xfId="0" applyNumberFormat="1" applyFill="1" applyBorder="1" applyAlignment="1">
      <alignment vertical="center"/>
    </xf>
    <xf numFmtId="0" fontId="0" fillId="0" borderId="0" xfId="0" applyProtection="1">
      <alignment vertical="center"/>
    </xf>
    <xf numFmtId="0" fontId="0" fillId="0" borderId="1" xfId="0" applyBorder="1" applyProtection="1">
      <alignment vertical="center"/>
    </xf>
    <xf numFmtId="177" fontId="0" fillId="0" borderId="0" xfId="0" applyNumberFormat="1" applyBorder="1" applyAlignment="1" applyProtection="1">
      <alignment horizontal="center" vertical="center"/>
    </xf>
    <xf numFmtId="177" fontId="0" fillId="0" borderId="0" xfId="0" applyNumberFormat="1" applyBorder="1" applyProtection="1">
      <alignment vertical="center"/>
    </xf>
    <xf numFmtId="177" fontId="0" fillId="0" borderId="0" xfId="0" applyNumberFormat="1" applyProtection="1">
      <alignment vertical="center"/>
    </xf>
    <xf numFmtId="177" fontId="0" fillId="0" borderId="0" xfId="0" applyNumberFormat="1" applyAlignment="1" applyProtection="1">
      <alignment horizontal="center" vertical="center"/>
    </xf>
    <xf numFmtId="177" fontId="0" fillId="7" borderId="1" xfId="0" applyNumberFormat="1" applyFill="1" applyBorder="1" applyProtection="1">
      <alignment vertical="center"/>
    </xf>
    <xf numFmtId="0" fontId="2" fillId="0" borderId="2" xfId="0" applyFont="1" applyBorder="1" applyProtection="1">
      <alignment vertical="center"/>
    </xf>
    <xf numFmtId="0" fontId="0" fillId="0" borderId="3" xfId="0" applyBorder="1" applyProtection="1">
      <alignment vertical="center"/>
    </xf>
    <xf numFmtId="177" fontId="2" fillId="0" borderId="3" xfId="0" applyNumberFormat="1" applyFont="1" applyFill="1" applyBorder="1" applyProtection="1">
      <alignment vertical="center"/>
    </xf>
    <xf numFmtId="0" fontId="0" fillId="0" borderId="4" xfId="0" applyBorder="1" applyProtection="1">
      <alignment vertical="center"/>
    </xf>
    <xf numFmtId="0" fontId="3" fillId="0" borderId="5" xfId="0" applyFont="1" applyBorder="1" applyAlignment="1" applyProtection="1">
      <alignment horizontal="center" vertical="center"/>
    </xf>
    <xf numFmtId="0" fontId="0" fillId="0" borderId="0" xfId="0" applyBorder="1" applyProtection="1">
      <alignment vertical="center"/>
    </xf>
    <xf numFmtId="177" fontId="0" fillId="0" borderId="6" xfId="0" applyNumberFormat="1" applyBorder="1" applyProtection="1">
      <alignment vertical="center"/>
    </xf>
    <xf numFmtId="0" fontId="3" fillId="8" borderId="33" xfId="0" applyFont="1" applyFill="1" applyBorder="1" applyAlignment="1" applyProtection="1">
      <alignment horizontal="left" vertical="center"/>
    </xf>
    <xf numFmtId="0" fontId="0" fillId="8" borderId="34" xfId="0" applyFill="1" applyBorder="1" applyProtection="1">
      <alignment vertical="center"/>
    </xf>
    <xf numFmtId="0" fontId="0" fillId="8" borderId="35" xfId="0" applyFill="1" applyBorder="1" applyProtection="1">
      <alignment vertical="center"/>
    </xf>
    <xf numFmtId="0" fontId="0" fillId="0" borderId="0" xfId="0" applyBorder="1" applyAlignment="1" applyProtection="1">
      <alignment horizontal="center" vertical="center"/>
    </xf>
    <xf numFmtId="181" fontId="0" fillId="7" borderId="1" xfId="0" applyNumberFormat="1" applyFill="1" applyBorder="1" applyProtection="1">
      <alignment vertical="center"/>
    </xf>
    <xf numFmtId="0" fontId="3" fillId="8" borderId="36" xfId="0" applyFont="1" applyFill="1" applyBorder="1" applyAlignment="1" applyProtection="1">
      <alignment horizontal="left" vertical="center"/>
    </xf>
    <xf numFmtId="0" fontId="0" fillId="8" borderId="37" xfId="0" applyFill="1" applyBorder="1" applyProtection="1">
      <alignment vertical="center"/>
    </xf>
    <xf numFmtId="0" fontId="0" fillId="8" borderId="38" xfId="0" applyFill="1" applyBorder="1" applyProtection="1">
      <alignment vertical="center"/>
    </xf>
    <xf numFmtId="0" fontId="0" fillId="0" borderId="5" xfId="0" applyBorder="1" applyAlignment="1" applyProtection="1">
      <alignment horizontal="center" vertical="center"/>
    </xf>
    <xf numFmtId="0" fontId="0" fillId="8" borderId="36" xfId="0" applyFill="1" applyBorder="1" applyProtection="1">
      <alignment vertical="center"/>
    </xf>
    <xf numFmtId="0" fontId="0" fillId="0" borderId="0" xfId="0" applyFill="1" applyBorder="1" applyProtection="1">
      <alignment vertical="center"/>
    </xf>
    <xf numFmtId="177" fontId="0" fillId="0" borderId="0" xfId="0" applyNumberFormat="1" applyFill="1" applyBorder="1" applyAlignment="1" applyProtection="1">
      <alignment horizontal="center" vertical="center"/>
    </xf>
    <xf numFmtId="182" fontId="0" fillId="8" borderId="38" xfId="0" applyNumberFormat="1" applyFill="1" applyBorder="1" applyProtection="1">
      <alignment vertical="center"/>
    </xf>
    <xf numFmtId="177" fontId="0" fillId="7" borderId="24" xfId="0" applyNumberFormat="1" applyFill="1" applyBorder="1" applyProtection="1">
      <alignment vertical="center"/>
    </xf>
    <xf numFmtId="0" fontId="0" fillId="0" borderId="6" xfId="0" applyBorder="1" applyProtection="1">
      <alignment vertical="center"/>
    </xf>
    <xf numFmtId="0" fontId="0" fillId="8" borderId="39" xfId="0" applyFill="1" applyBorder="1" applyProtection="1">
      <alignment vertical="center"/>
    </xf>
    <xf numFmtId="0" fontId="0" fillId="8" borderId="40" xfId="0" applyFill="1" applyBorder="1" applyProtection="1">
      <alignment vertical="center"/>
    </xf>
    <xf numFmtId="0" fontId="0" fillId="8" borderId="41" xfId="0" applyFill="1" applyBorder="1" applyProtection="1">
      <alignment vertical="center"/>
    </xf>
    <xf numFmtId="0" fontId="0" fillId="0" borderId="0" xfId="0" applyFill="1" applyBorder="1" applyAlignment="1" applyProtection="1">
      <alignment horizontal="center" vertical="center"/>
    </xf>
    <xf numFmtId="0" fontId="0" fillId="0" borderId="22" xfId="0" applyBorder="1" applyProtection="1">
      <alignment vertical="center"/>
    </xf>
    <xf numFmtId="0" fontId="2" fillId="0" borderId="5" xfId="0" applyFont="1" applyBorder="1" applyProtection="1">
      <alignment vertical="center"/>
    </xf>
    <xf numFmtId="0" fontId="2" fillId="0" borderId="0" xfId="0" applyFont="1" applyBorder="1" applyProtection="1">
      <alignment vertical="center"/>
    </xf>
    <xf numFmtId="0" fontId="2" fillId="0" borderId="7" xfId="0" applyFont="1" applyBorder="1" applyProtection="1">
      <alignment vertical="center"/>
    </xf>
    <xf numFmtId="0" fontId="0" fillId="0" borderId="8" xfId="0" applyBorder="1" applyProtection="1">
      <alignment vertical="center"/>
    </xf>
    <xf numFmtId="0" fontId="2" fillId="0" borderId="8" xfId="0" applyFont="1" applyBorder="1" applyProtection="1">
      <alignment vertical="center"/>
    </xf>
    <xf numFmtId="0" fontId="0" fillId="0" borderId="9" xfId="0" applyBorder="1" applyProtection="1">
      <alignment vertical="center"/>
    </xf>
    <xf numFmtId="177" fontId="2" fillId="0" borderId="2" xfId="0" applyNumberFormat="1" applyFont="1" applyBorder="1" applyProtection="1">
      <alignment vertical="center"/>
    </xf>
    <xf numFmtId="177" fontId="0" fillId="0" borderId="3" xfId="0" applyNumberFormat="1" applyBorder="1" applyProtection="1">
      <alignment vertical="center"/>
    </xf>
    <xf numFmtId="177" fontId="0" fillId="0" borderId="4" xfId="0" applyNumberFormat="1" applyBorder="1" applyProtection="1">
      <alignment vertical="center"/>
    </xf>
    <xf numFmtId="177" fontId="0" fillId="0" borderId="5" xfId="0" applyNumberFormat="1" applyBorder="1" applyAlignment="1" applyProtection="1">
      <alignment horizontal="center" vertical="center"/>
    </xf>
    <xf numFmtId="177" fontId="0" fillId="0" borderId="7" xfId="0" applyNumberFormat="1" applyBorder="1" applyAlignment="1" applyProtection="1">
      <alignment horizontal="center" vertical="center"/>
    </xf>
    <xf numFmtId="177" fontId="0" fillId="0" borderId="8" xfId="0" applyNumberFormat="1" applyBorder="1" applyProtection="1">
      <alignment vertical="center"/>
    </xf>
    <xf numFmtId="177" fontId="0" fillId="0" borderId="9" xfId="0" applyNumberFormat="1" applyBorder="1" applyProtection="1">
      <alignment vertical="center"/>
    </xf>
    <xf numFmtId="0" fontId="2" fillId="0" borderId="29" xfId="0" applyFont="1" applyBorder="1" applyProtection="1">
      <alignment vertical="center"/>
    </xf>
    <xf numFmtId="0" fontId="0" fillId="0" borderId="30" xfId="0" applyBorder="1" applyProtection="1">
      <alignment vertical="center"/>
    </xf>
    <xf numFmtId="0" fontId="0" fillId="0" borderId="31" xfId="0" applyBorder="1" applyProtection="1">
      <alignment vertical="center"/>
    </xf>
    <xf numFmtId="177" fontId="0" fillId="0" borderId="0" xfId="0" applyNumberFormat="1" applyFill="1" applyBorder="1" applyProtection="1">
      <alignment vertical="center"/>
    </xf>
    <xf numFmtId="177" fontId="0" fillId="7" borderId="1" xfId="0" applyNumberFormat="1" applyFill="1" applyBorder="1" applyAlignment="1" applyProtection="1">
      <alignment horizontal="right" vertical="center"/>
    </xf>
    <xf numFmtId="177" fontId="0" fillId="7" borderId="24" xfId="0" applyNumberFormat="1" applyFill="1" applyBorder="1" applyAlignment="1" applyProtection="1">
      <alignment horizontal="right" vertical="center"/>
    </xf>
    <xf numFmtId="179" fontId="0" fillId="7" borderId="1" xfId="0" applyNumberFormat="1" applyFill="1" applyBorder="1" applyAlignment="1" applyProtection="1">
      <alignment horizontal="right" vertical="center"/>
    </xf>
    <xf numFmtId="179" fontId="0" fillId="7" borderId="1" xfId="0" applyNumberFormat="1" applyFill="1" applyBorder="1" applyProtection="1">
      <alignment vertical="center"/>
    </xf>
    <xf numFmtId="0" fontId="0" fillId="9" borderId="0" xfId="0" applyFill="1" applyProtection="1">
      <alignment vertical="center"/>
    </xf>
    <xf numFmtId="177" fontId="0" fillId="9" borderId="0" xfId="0" applyNumberFormat="1" applyFill="1" applyBorder="1" applyProtection="1">
      <alignment vertical="center"/>
      <protection locked="0"/>
    </xf>
    <xf numFmtId="0" fontId="0" fillId="9" borderId="8" xfId="0" applyFill="1" applyBorder="1" applyProtection="1">
      <alignment vertical="center"/>
      <protection locked="0"/>
    </xf>
    <xf numFmtId="182" fontId="0" fillId="9" borderId="8" xfId="0" applyNumberFormat="1" applyFill="1" applyBorder="1" applyProtection="1">
      <alignment vertical="center"/>
      <protection locked="0"/>
    </xf>
    <xf numFmtId="177" fontId="0" fillId="9" borderId="8" xfId="0" applyNumberFormat="1" applyFill="1" applyBorder="1" applyProtection="1">
      <alignment vertical="center"/>
      <protection locked="0"/>
    </xf>
    <xf numFmtId="177" fontId="2" fillId="10" borderId="2" xfId="0" applyNumberFormat="1" applyFont="1" applyFill="1" applyBorder="1" applyProtection="1">
      <alignment vertical="center"/>
    </xf>
    <xf numFmtId="177" fontId="0" fillId="10" borderId="3" xfId="0" applyNumberFormat="1" applyFill="1" applyBorder="1" applyProtection="1">
      <alignment vertical="center"/>
    </xf>
    <xf numFmtId="177" fontId="0" fillId="10" borderId="4" xfId="0" applyNumberFormat="1" applyFill="1" applyBorder="1" applyProtection="1">
      <alignment vertical="center"/>
    </xf>
    <xf numFmtId="177" fontId="0" fillId="10" borderId="5" xfId="0" applyNumberFormat="1" applyFill="1" applyBorder="1" applyAlignment="1" applyProtection="1">
      <alignment horizontal="center" vertical="center"/>
    </xf>
    <xf numFmtId="177" fontId="0" fillId="10" borderId="1" xfId="0" applyNumberFormat="1" applyFill="1" applyBorder="1" applyProtection="1">
      <alignment vertical="center"/>
    </xf>
    <xf numFmtId="9" fontId="0" fillId="10" borderId="17" xfId="0" applyNumberFormat="1" applyFill="1" applyBorder="1" applyAlignment="1" applyProtection="1">
      <alignment vertical="center"/>
    </xf>
    <xf numFmtId="177" fontId="0" fillId="10" borderId="7" xfId="0" applyNumberFormat="1" applyFill="1" applyBorder="1" applyAlignment="1" applyProtection="1">
      <alignment horizontal="center" vertical="center"/>
    </xf>
    <xf numFmtId="177" fontId="0" fillId="10" borderId="13" xfId="0" applyNumberFormat="1" applyFill="1" applyBorder="1" applyProtection="1">
      <alignment vertical="center"/>
    </xf>
    <xf numFmtId="9" fontId="0" fillId="10" borderId="18" xfId="0" applyNumberFormat="1" applyFill="1" applyBorder="1" applyAlignment="1" applyProtection="1">
      <alignment vertical="center"/>
    </xf>
    <xf numFmtId="177" fontId="0" fillId="0" borderId="27" xfId="0" applyNumberFormat="1" applyFill="1" applyBorder="1" applyAlignment="1" applyProtection="1">
      <alignment horizontal="center" vertical="center"/>
    </xf>
    <xf numFmtId="0" fontId="0" fillId="0" borderId="22" xfId="0" applyFill="1" applyBorder="1" applyProtection="1">
      <alignment vertical="center"/>
    </xf>
    <xf numFmtId="0" fontId="0" fillId="0" borderId="28" xfId="0" applyFill="1" applyBorder="1" applyProtection="1">
      <alignment vertical="center"/>
    </xf>
    <xf numFmtId="177" fontId="0" fillId="0" borderId="3" xfId="0" applyNumberFormat="1" applyFill="1" applyBorder="1" applyAlignment="1" applyProtection="1">
      <alignment horizontal="center" vertical="center"/>
    </xf>
    <xf numFmtId="177" fontId="0" fillId="0" borderId="3" xfId="0" applyNumberFormat="1" applyFill="1" applyBorder="1" applyProtection="1">
      <alignment vertical="center"/>
    </xf>
    <xf numFmtId="0" fontId="0" fillId="0" borderId="19" xfId="0" applyFill="1" applyBorder="1" applyProtection="1">
      <alignment vertical="center"/>
    </xf>
    <xf numFmtId="177" fontId="0" fillId="0" borderId="14" xfId="0" applyNumberFormat="1" applyFill="1" applyBorder="1" applyAlignment="1" applyProtection="1">
      <alignment horizontal="center" vertical="center"/>
    </xf>
    <xf numFmtId="177" fontId="0" fillId="0" borderId="19" xfId="0" applyNumberFormat="1" applyFill="1" applyBorder="1" applyProtection="1">
      <alignment vertical="center"/>
    </xf>
    <xf numFmtId="177" fontId="0" fillId="0" borderId="4" xfId="0" applyNumberFormat="1" applyFill="1" applyBorder="1" applyProtection="1">
      <alignment vertical="center"/>
    </xf>
    <xf numFmtId="177" fontId="2" fillId="0" borderId="5" xfId="0" applyNumberFormat="1" applyFont="1" applyFill="1" applyBorder="1" applyProtection="1">
      <alignment vertical="center"/>
    </xf>
    <xf numFmtId="0" fontId="0" fillId="0" borderId="20" xfId="0" applyFill="1" applyBorder="1" applyProtection="1">
      <alignment vertical="center"/>
    </xf>
    <xf numFmtId="177" fontId="0" fillId="0" borderId="15" xfId="0" applyNumberFormat="1" applyFill="1" applyBorder="1" applyAlignment="1" applyProtection="1">
      <alignment horizontal="center" vertical="center"/>
    </xf>
    <xf numFmtId="177" fontId="0" fillId="0" borderId="20" xfId="0" applyNumberFormat="1" applyFill="1" applyBorder="1" applyProtection="1">
      <alignment vertical="center"/>
    </xf>
    <xf numFmtId="177" fontId="0" fillId="0" borderId="6" xfId="0" applyNumberFormat="1" applyFill="1" applyBorder="1" applyProtection="1">
      <alignment vertical="center"/>
    </xf>
    <xf numFmtId="177" fontId="0" fillId="0" borderId="5" xfId="0" applyNumberFormat="1" applyFill="1" applyBorder="1" applyAlignment="1" applyProtection="1">
      <alignment horizontal="center" vertical="center"/>
    </xf>
    <xf numFmtId="0" fontId="0" fillId="0" borderId="6" xfId="0" applyFill="1" applyBorder="1" applyProtection="1">
      <alignment vertical="center"/>
    </xf>
    <xf numFmtId="0" fontId="0" fillId="0" borderId="5" xfId="0" applyFill="1" applyBorder="1" applyAlignment="1" applyProtection="1">
      <alignment horizontal="center" vertical="center"/>
    </xf>
    <xf numFmtId="177" fontId="0" fillId="0" borderId="7" xfId="0" applyNumberFormat="1" applyFill="1" applyBorder="1" applyAlignment="1" applyProtection="1">
      <alignment horizontal="center" vertical="center"/>
    </xf>
    <xf numFmtId="177" fontId="0" fillId="0" borderId="9" xfId="0" applyNumberFormat="1" applyFill="1" applyBorder="1" applyProtection="1">
      <alignment vertical="center"/>
    </xf>
    <xf numFmtId="0" fontId="0" fillId="0" borderId="21" xfId="0" applyFill="1" applyBorder="1" applyProtection="1">
      <alignment vertical="center"/>
    </xf>
    <xf numFmtId="0" fontId="0" fillId="0" borderId="8" xfId="0" applyFill="1" applyBorder="1" applyAlignment="1" applyProtection="1">
      <alignment horizontal="center" vertical="center"/>
    </xf>
    <xf numFmtId="0" fontId="0" fillId="0" borderId="8" xfId="0" applyFill="1" applyBorder="1" applyProtection="1">
      <alignment vertical="center"/>
    </xf>
    <xf numFmtId="177" fontId="0" fillId="0" borderId="16" xfId="0" applyNumberFormat="1" applyFill="1" applyBorder="1" applyAlignment="1" applyProtection="1">
      <alignment horizontal="center" vertical="center"/>
    </xf>
    <xf numFmtId="177" fontId="0" fillId="0" borderId="32" xfId="0" applyNumberFormat="1" applyFill="1" applyBorder="1" applyProtection="1">
      <alignment vertical="center"/>
    </xf>
    <xf numFmtId="177" fontId="0" fillId="0" borderId="21" xfId="0" applyNumberFormat="1" applyFill="1" applyBorder="1" applyProtection="1">
      <alignment vertical="center"/>
    </xf>
    <xf numFmtId="182" fontId="0" fillId="0" borderId="32" xfId="0" applyNumberFormat="1" applyFill="1" applyBorder="1" applyProtection="1">
      <alignment vertical="center"/>
    </xf>
    <xf numFmtId="0" fontId="0" fillId="0" borderId="9" xfId="0" applyFill="1" applyBorder="1" applyProtection="1">
      <alignment vertical="center"/>
    </xf>
    <xf numFmtId="179" fontId="0" fillId="7" borderId="24" xfId="0" applyNumberFormat="1" applyFill="1" applyBorder="1" applyProtection="1">
      <alignment vertical="center"/>
    </xf>
    <xf numFmtId="177" fontId="0" fillId="7" borderId="23" xfId="0" applyNumberFormat="1" applyFill="1" applyBorder="1" applyProtection="1">
      <alignment vertical="center"/>
    </xf>
    <xf numFmtId="177" fontId="0" fillId="7" borderId="13" xfId="0" applyNumberFormat="1" applyFill="1" applyBorder="1" applyProtection="1">
      <alignment vertical="center"/>
    </xf>
    <xf numFmtId="177" fontId="0" fillId="7" borderId="25" xfId="0" applyNumberFormat="1" applyFill="1" applyBorder="1" applyProtection="1">
      <alignment vertical="center"/>
    </xf>
    <xf numFmtId="180" fontId="0" fillId="7" borderId="25" xfId="0" applyNumberFormat="1" applyFill="1" applyBorder="1" applyProtection="1">
      <alignment vertical="center"/>
    </xf>
    <xf numFmtId="176" fontId="0" fillId="7" borderId="25" xfId="0" applyNumberFormat="1" applyFill="1" applyBorder="1" applyProtection="1">
      <alignment vertical="center"/>
    </xf>
    <xf numFmtId="176" fontId="0" fillId="7" borderId="1" xfId="0" applyNumberFormat="1" applyFill="1" applyBorder="1" applyProtection="1">
      <alignment vertical="center"/>
    </xf>
    <xf numFmtId="177" fontId="0" fillId="7" borderId="26" xfId="0" applyNumberFormat="1" applyFill="1" applyBorder="1" applyProtection="1">
      <alignment vertical="center"/>
    </xf>
    <xf numFmtId="0" fontId="6" fillId="0" borderId="5" xfId="0" applyFont="1" applyBorder="1" applyAlignment="1" applyProtection="1">
      <alignment horizontal="center" vertical="center"/>
    </xf>
  </cellXfs>
  <cellStyles count="1">
    <cellStyle name="標準" xfId="0" builtinId="0"/>
  </cellStyles>
  <dxfs count="202">
    <dxf>
      <fill>
        <patternFill>
          <bgColor rgb="FFFF0000"/>
        </patternFill>
      </fill>
    </dxf>
    <dxf>
      <fill>
        <patternFill>
          <bgColor rgb="FFFF0000"/>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CCCC"/>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CCCC"/>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0000"/>
        </patternFill>
      </fill>
    </dxf>
    <dxf>
      <fill>
        <patternFill>
          <bgColor rgb="FFFF0000"/>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CC"/>
        </patternFill>
      </fill>
    </dxf>
    <dxf>
      <fill>
        <patternFill>
          <bgColor rgb="FFFFCCCC"/>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colors>
    <mruColors>
      <color rgb="FFFFFFCC"/>
      <color rgb="FF66FF99"/>
      <color rgb="FF00FF00"/>
      <color rgb="FF66FF66"/>
      <color rgb="FFFFCCCC"/>
      <color rgb="FFFF6699"/>
      <color rgb="FFFF7C8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64"/>
  <sheetViews>
    <sheetView zoomScale="85" zoomScaleNormal="85" workbookViewId="0">
      <selection activeCell="D23" sqref="D23"/>
    </sheetView>
  </sheetViews>
  <sheetFormatPr defaultRowHeight="13.5" x14ac:dyDescent="0.15"/>
  <cols>
    <col min="1" max="1" width="17.5" style="114" customWidth="1"/>
    <col min="2" max="2" width="8.125" style="114" customWidth="1"/>
    <col min="3" max="3" width="5.625" style="114" customWidth="1"/>
    <col min="4" max="4" width="5" style="114" customWidth="1"/>
    <col min="5" max="5" width="17.5" style="114" customWidth="1"/>
    <col min="6" max="6" width="8.125" style="114" customWidth="1"/>
    <col min="7" max="7" width="9.625" style="114" customWidth="1"/>
    <col min="8" max="8" width="2.625" style="114" customWidth="1"/>
    <col min="9" max="9" width="17.5" style="114" customWidth="1"/>
    <col min="10" max="10" width="8.25" style="114" customWidth="1"/>
    <col min="11" max="11" width="10.75" style="114" customWidth="1"/>
    <col min="12" max="12" width="17.5" style="114" customWidth="1"/>
    <col min="13" max="13" width="8.75" style="114" customWidth="1"/>
    <col min="14" max="14" width="10.625" style="114" customWidth="1"/>
    <col min="15" max="16" width="6.75" style="114" bestFit="1" customWidth="1"/>
    <col min="17" max="17" width="20.75" style="114" customWidth="1"/>
    <col min="18" max="18" width="4.5" style="114" bestFit="1" customWidth="1"/>
    <col min="19" max="23" width="6.75" style="114" bestFit="1" customWidth="1"/>
    <col min="24" max="24" width="6.5" style="114" bestFit="1" customWidth="1"/>
    <col min="25" max="25" width="7.625" style="114" bestFit="1" customWidth="1"/>
    <col min="26" max="16384" width="9" style="114"/>
  </cols>
  <sheetData>
    <row r="1" spans="1:27" x14ac:dyDescent="0.15">
      <c r="A1" s="169"/>
      <c r="B1" s="114" t="s">
        <v>62</v>
      </c>
    </row>
    <row r="2" spans="1:27" x14ac:dyDescent="0.15">
      <c r="A2" s="115"/>
      <c r="B2" s="114" t="s">
        <v>63</v>
      </c>
    </row>
    <row r="4" spans="1:27" x14ac:dyDescent="0.15">
      <c r="A4" s="116" t="s">
        <v>191</v>
      </c>
      <c r="B4" s="170">
        <v>73</v>
      </c>
      <c r="C4" s="117" t="s">
        <v>192</v>
      </c>
      <c r="D4" s="118"/>
      <c r="E4" s="118"/>
      <c r="F4" s="118"/>
      <c r="G4" s="118"/>
      <c r="I4" s="118"/>
      <c r="J4" s="118"/>
      <c r="K4" s="118"/>
    </row>
    <row r="5" spans="1:27" x14ac:dyDescent="0.15">
      <c r="A5" s="116" t="s">
        <v>26</v>
      </c>
      <c r="B5" s="170">
        <v>9</v>
      </c>
      <c r="C5" s="117" t="s">
        <v>111</v>
      </c>
      <c r="D5" s="118"/>
      <c r="E5" s="119" t="s">
        <v>193</v>
      </c>
      <c r="F5" s="120">
        <f>SQRT(B4*B5/3600)</f>
        <v>0.42720018726587655</v>
      </c>
      <c r="G5" s="118" t="s">
        <v>194</v>
      </c>
      <c r="I5" s="118"/>
      <c r="J5" s="118"/>
      <c r="K5" s="118"/>
      <c r="Q5" s="114" t="s">
        <v>130</v>
      </c>
    </row>
    <row r="6" spans="1:27" ht="14.25" thickBot="1" x14ac:dyDescent="0.2">
      <c r="A6" s="118"/>
      <c r="C6" s="118"/>
      <c r="Q6" s="118"/>
      <c r="R6" s="118" t="s">
        <v>125</v>
      </c>
      <c r="S6" s="118" t="s">
        <v>124</v>
      </c>
      <c r="T6" s="118" t="s">
        <v>124</v>
      </c>
      <c r="U6" s="118" t="s">
        <v>124</v>
      </c>
      <c r="V6" s="118" t="s">
        <v>124</v>
      </c>
      <c r="W6" s="118" t="s">
        <v>124</v>
      </c>
      <c r="X6" s="118" t="s">
        <v>128</v>
      </c>
      <c r="Y6" s="118" t="s">
        <v>125</v>
      </c>
      <c r="Z6" s="118" t="s">
        <v>184</v>
      </c>
      <c r="AA6" s="118" t="s">
        <v>199</v>
      </c>
    </row>
    <row r="7" spans="1:27" x14ac:dyDescent="0.15">
      <c r="A7" s="121" t="s">
        <v>113</v>
      </c>
      <c r="B7" s="122"/>
      <c r="C7" s="122"/>
      <c r="D7" s="122"/>
      <c r="E7" s="123" t="s">
        <v>127</v>
      </c>
      <c r="F7" s="122"/>
      <c r="G7" s="124"/>
      <c r="I7" s="121" t="s">
        <v>116</v>
      </c>
      <c r="J7" s="122"/>
      <c r="K7" s="122"/>
      <c r="L7" s="123" t="s">
        <v>131</v>
      </c>
      <c r="M7" s="122"/>
      <c r="N7" s="124"/>
      <c r="R7" s="114" t="s">
        <v>121</v>
      </c>
      <c r="S7" s="114" t="s">
        <v>14</v>
      </c>
      <c r="T7" s="114" t="s">
        <v>15</v>
      </c>
      <c r="U7" s="114" t="s">
        <v>16</v>
      </c>
      <c r="V7" s="114" t="s">
        <v>123</v>
      </c>
      <c r="W7" s="114" t="s">
        <v>33</v>
      </c>
      <c r="X7" s="114" t="s">
        <v>32</v>
      </c>
      <c r="Y7" s="114" t="s">
        <v>31</v>
      </c>
      <c r="Z7" s="114" t="s">
        <v>183</v>
      </c>
      <c r="AA7" s="114" t="s">
        <v>198</v>
      </c>
    </row>
    <row r="8" spans="1:27" x14ac:dyDescent="0.15">
      <c r="A8" s="125" t="s">
        <v>158</v>
      </c>
      <c r="B8" s="170">
        <v>0</v>
      </c>
      <c r="C8" s="126" t="s">
        <v>21</v>
      </c>
      <c r="D8" s="126"/>
      <c r="E8" s="116" t="s">
        <v>13</v>
      </c>
      <c r="F8" s="165">
        <f>(SUMPRODUCT(B8:B29,R8:R29))/1000/B31*100</f>
        <v>15.151515151515152</v>
      </c>
      <c r="G8" s="127" t="s">
        <v>135</v>
      </c>
      <c r="I8" s="125" t="s">
        <v>158</v>
      </c>
      <c r="J8" s="170">
        <v>0</v>
      </c>
      <c r="K8" s="126" t="s">
        <v>21</v>
      </c>
      <c r="L8" s="116" t="s">
        <v>13</v>
      </c>
      <c r="M8" s="120">
        <f>IF(J31=0,0,(SUMPRODUCT(J8:J29,R8:R29))/1000/J31*100)</f>
        <v>5</v>
      </c>
      <c r="N8" s="127" t="s">
        <v>135</v>
      </c>
      <c r="P8" s="126"/>
      <c r="Q8" s="128" t="s">
        <v>158</v>
      </c>
      <c r="R8" s="129"/>
      <c r="S8" s="129">
        <v>154</v>
      </c>
      <c r="T8" s="129"/>
      <c r="U8" s="129">
        <v>154</v>
      </c>
      <c r="V8" s="129"/>
      <c r="W8" s="129"/>
      <c r="X8" s="129"/>
      <c r="Y8" s="129"/>
      <c r="Z8" s="130"/>
    </row>
    <row r="9" spans="1:27" x14ac:dyDescent="0.15">
      <c r="A9" s="125" t="s">
        <v>159</v>
      </c>
      <c r="B9" s="170">
        <v>0</v>
      </c>
      <c r="C9" s="126" t="s">
        <v>21</v>
      </c>
      <c r="D9" s="126"/>
      <c r="E9" s="131" t="s">
        <v>30</v>
      </c>
      <c r="F9" s="165">
        <f>(SUMPRODUCT(B8:B29,R8:R29))/B31*B32/60/B5</f>
        <v>4.2087542087542085</v>
      </c>
      <c r="G9" s="127" t="s">
        <v>57</v>
      </c>
      <c r="I9" s="125" t="s">
        <v>159</v>
      </c>
      <c r="J9" s="170">
        <v>0</v>
      </c>
      <c r="K9" s="126" t="s">
        <v>21</v>
      </c>
      <c r="L9" s="131" t="s">
        <v>30</v>
      </c>
      <c r="M9" s="120">
        <f>IF(J31=0,0,(SUMPRODUCT(J8:J29,R8:R29))/J31*J32/60/B5)</f>
        <v>0.92592592592592604</v>
      </c>
      <c r="N9" s="127" t="s">
        <v>57</v>
      </c>
      <c r="P9" s="126"/>
      <c r="Q9" s="133" t="s">
        <v>159</v>
      </c>
      <c r="R9" s="134">
        <v>50</v>
      </c>
      <c r="S9" s="134"/>
      <c r="T9" s="134"/>
      <c r="U9" s="134"/>
      <c r="V9" s="134"/>
      <c r="W9" s="134"/>
      <c r="X9" s="134"/>
      <c r="Y9" s="134"/>
      <c r="Z9" s="135"/>
    </row>
    <row r="10" spans="1:27" x14ac:dyDescent="0.15">
      <c r="A10" s="136" t="s">
        <v>97</v>
      </c>
      <c r="B10" s="170">
        <v>0</v>
      </c>
      <c r="C10" s="126" t="s">
        <v>21</v>
      </c>
      <c r="D10" s="126"/>
      <c r="E10" s="116" t="s">
        <v>14</v>
      </c>
      <c r="F10" s="165">
        <f>(SUMPRODUCT(B8:B29,S8:S29))/B31</f>
        <v>86.222222222222229</v>
      </c>
      <c r="G10" s="127" t="s">
        <v>124</v>
      </c>
      <c r="I10" s="136" t="s">
        <v>97</v>
      </c>
      <c r="J10" s="170">
        <v>500</v>
      </c>
      <c r="K10" s="126" t="s">
        <v>21</v>
      </c>
      <c r="L10" s="116" t="s">
        <v>14</v>
      </c>
      <c r="M10" s="120">
        <f>IF(J31=0,0,(SUMPRODUCT(J8:J29,S8:S29))/J31)</f>
        <v>130</v>
      </c>
      <c r="N10" s="127" t="s">
        <v>124</v>
      </c>
      <c r="Q10" s="137" t="s">
        <v>97</v>
      </c>
      <c r="R10" s="134">
        <v>50</v>
      </c>
      <c r="S10" s="134">
        <v>130</v>
      </c>
      <c r="T10" s="134">
        <v>4</v>
      </c>
      <c r="U10" s="134">
        <v>109</v>
      </c>
      <c r="V10" s="134">
        <v>3</v>
      </c>
      <c r="W10" s="134"/>
      <c r="X10" s="134"/>
      <c r="Y10" s="134"/>
      <c r="Z10" s="135">
        <v>28</v>
      </c>
    </row>
    <row r="11" spans="1:27" x14ac:dyDescent="0.15">
      <c r="A11" s="136" t="s">
        <v>174</v>
      </c>
      <c r="B11" s="170">
        <v>0</v>
      </c>
      <c r="C11" s="138" t="s">
        <v>175</v>
      </c>
      <c r="D11" s="126"/>
      <c r="E11" s="116" t="s">
        <v>176</v>
      </c>
      <c r="F11" s="165">
        <f>F10*B32*F32/1000</f>
        <v>31.040000000000003</v>
      </c>
      <c r="G11" s="127" t="s">
        <v>177</v>
      </c>
      <c r="I11" s="136" t="s">
        <v>174</v>
      </c>
      <c r="J11" s="170">
        <v>0</v>
      </c>
      <c r="K11" s="138" t="s">
        <v>175</v>
      </c>
      <c r="L11" s="116" t="s">
        <v>176</v>
      </c>
      <c r="M11" s="120">
        <f>M10*J32*M32/1000</f>
        <v>31.2</v>
      </c>
      <c r="N11" s="127" t="s">
        <v>177</v>
      </c>
      <c r="Q11" s="137" t="s">
        <v>174</v>
      </c>
      <c r="R11" s="134"/>
      <c r="S11" s="134">
        <v>130</v>
      </c>
      <c r="T11" s="134">
        <v>4</v>
      </c>
      <c r="U11" s="134">
        <v>109</v>
      </c>
      <c r="V11" s="134">
        <v>3</v>
      </c>
      <c r="W11" s="134"/>
      <c r="X11" s="134"/>
      <c r="Y11" s="134"/>
      <c r="Z11" s="135">
        <v>28</v>
      </c>
    </row>
    <row r="12" spans="1:27" x14ac:dyDescent="0.15">
      <c r="A12" s="136" t="s">
        <v>152</v>
      </c>
      <c r="B12" s="170">
        <v>0</v>
      </c>
      <c r="C12" s="126" t="s">
        <v>21</v>
      </c>
      <c r="D12" s="126"/>
      <c r="E12" s="116" t="s">
        <v>15</v>
      </c>
      <c r="F12" s="165">
        <f>(SUMPRODUCT(B8:B29,T8:T29))/B31</f>
        <v>40.404040404040401</v>
      </c>
      <c r="G12" s="127" t="s">
        <v>124</v>
      </c>
      <c r="I12" s="136" t="s">
        <v>152</v>
      </c>
      <c r="J12" s="170">
        <v>0</v>
      </c>
      <c r="K12" s="126" t="s">
        <v>21</v>
      </c>
      <c r="L12" s="116" t="s">
        <v>15</v>
      </c>
      <c r="M12" s="120">
        <f>IF(J31=0,0,(SUMPRODUCT(J8:J29,T8:T29))/J31)</f>
        <v>4</v>
      </c>
      <c r="N12" s="127" t="s">
        <v>124</v>
      </c>
      <c r="Q12" s="137" t="s">
        <v>152</v>
      </c>
      <c r="R12" s="134">
        <v>26</v>
      </c>
      <c r="S12" s="134">
        <v>90</v>
      </c>
      <c r="T12" s="134">
        <v>0</v>
      </c>
      <c r="U12" s="134">
        <v>70</v>
      </c>
      <c r="V12" s="134"/>
      <c r="W12" s="134"/>
      <c r="X12" s="134"/>
      <c r="Y12" s="134"/>
      <c r="Z12" s="135">
        <v>20</v>
      </c>
    </row>
    <row r="13" spans="1:27" x14ac:dyDescent="0.15">
      <c r="A13" s="136" t="s">
        <v>98</v>
      </c>
      <c r="B13" s="170">
        <v>0</v>
      </c>
      <c r="C13" s="126" t="s">
        <v>21</v>
      </c>
      <c r="D13" s="126"/>
      <c r="E13" s="116" t="s">
        <v>171</v>
      </c>
      <c r="F13" s="165">
        <f>F12*B32*F32/1000</f>
        <v>14.545454545454545</v>
      </c>
      <c r="G13" s="127" t="s">
        <v>178</v>
      </c>
      <c r="I13" s="136" t="s">
        <v>98</v>
      </c>
      <c r="J13" s="170">
        <v>0</v>
      </c>
      <c r="K13" s="126" t="s">
        <v>21</v>
      </c>
      <c r="L13" s="116" t="s">
        <v>173</v>
      </c>
      <c r="M13" s="120">
        <f>M12*J32*M32/1000</f>
        <v>0.96</v>
      </c>
      <c r="N13" s="127" t="s">
        <v>172</v>
      </c>
      <c r="Q13" s="137" t="s">
        <v>98</v>
      </c>
      <c r="R13" s="134">
        <v>43</v>
      </c>
      <c r="S13" s="134">
        <v>35</v>
      </c>
      <c r="T13" s="134">
        <v>20</v>
      </c>
      <c r="U13" s="134">
        <v>35</v>
      </c>
      <c r="V13" s="134"/>
      <c r="W13" s="134"/>
      <c r="X13" s="134"/>
      <c r="Y13" s="134"/>
      <c r="Z13" s="135">
        <v>20</v>
      </c>
    </row>
    <row r="14" spans="1:27" x14ac:dyDescent="0.15">
      <c r="A14" s="136" t="s">
        <v>106</v>
      </c>
      <c r="B14" s="170">
        <v>0</v>
      </c>
      <c r="C14" s="126" t="s">
        <v>21</v>
      </c>
      <c r="D14" s="126"/>
      <c r="E14" s="116" t="s">
        <v>16</v>
      </c>
      <c r="F14" s="165">
        <f>(SUMPRODUCT(B8:B29,U8:U29))/B31</f>
        <v>126.26262626262626</v>
      </c>
      <c r="G14" s="127" t="s">
        <v>124</v>
      </c>
      <c r="I14" s="136" t="s">
        <v>106</v>
      </c>
      <c r="J14" s="170">
        <v>0</v>
      </c>
      <c r="K14" s="126" t="s">
        <v>21</v>
      </c>
      <c r="L14" s="116" t="s">
        <v>16</v>
      </c>
      <c r="M14" s="120">
        <f>IF(J31=0,0,(SUMPRODUCT(J8:J29,U8:U29))/J31)</f>
        <v>109</v>
      </c>
      <c r="N14" s="127" t="s">
        <v>124</v>
      </c>
      <c r="Q14" s="137" t="s">
        <v>106</v>
      </c>
      <c r="R14" s="134">
        <v>10</v>
      </c>
      <c r="S14" s="134">
        <v>140</v>
      </c>
      <c r="T14" s="134">
        <v>4</v>
      </c>
      <c r="U14" s="134">
        <v>115</v>
      </c>
      <c r="V14" s="134">
        <v>3</v>
      </c>
      <c r="W14" s="134">
        <v>2</v>
      </c>
      <c r="X14" s="134"/>
      <c r="Y14" s="134"/>
      <c r="Z14" s="135">
        <v>34</v>
      </c>
    </row>
    <row r="15" spans="1:27" x14ac:dyDescent="0.15">
      <c r="A15" s="136" t="s">
        <v>99</v>
      </c>
      <c r="B15" s="170">
        <v>0</v>
      </c>
      <c r="C15" s="126" t="s">
        <v>21</v>
      </c>
      <c r="D15" s="126"/>
      <c r="E15" s="139" t="s">
        <v>123</v>
      </c>
      <c r="F15" s="165">
        <f>(SUMPRODUCT(B8:B29,V8:V29))/B31</f>
        <v>31.515151515151516</v>
      </c>
      <c r="G15" s="127" t="s">
        <v>124</v>
      </c>
      <c r="I15" s="136" t="s">
        <v>99</v>
      </c>
      <c r="J15" s="170">
        <v>0</v>
      </c>
      <c r="K15" s="126" t="s">
        <v>21</v>
      </c>
      <c r="L15" s="139" t="s">
        <v>123</v>
      </c>
      <c r="M15" s="120">
        <f>IF(J31=0,0,(SUMPRODUCT(J8:J29,V8:V29))/J31)</f>
        <v>3</v>
      </c>
      <c r="N15" s="127" t="s">
        <v>124</v>
      </c>
      <c r="Q15" s="137" t="s">
        <v>99</v>
      </c>
      <c r="R15" s="134">
        <v>100</v>
      </c>
      <c r="S15" s="134">
        <v>35</v>
      </c>
      <c r="T15" s="134">
        <v>20</v>
      </c>
      <c r="U15" s="134">
        <v>28</v>
      </c>
      <c r="V15" s="134">
        <v>5</v>
      </c>
      <c r="W15" s="134">
        <v>3</v>
      </c>
      <c r="X15" s="134"/>
      <c r="Y15" s="134"/>
      <c r="Z15" s="135">
        <v>25</v>
      </c>
    </row>
    <row r="16" spans="1:27" x14ac:dyDescent="0.15">
      <c r="A16" s="136" t="s">
        <v>149</v>
      </c>
      <c r="B16" s="170">
        <v>0</v>
      </c>
      <c r="C16" s="138" t="s">
        <v>151</v>
      </c>
      <c r="D16" s="126"/>
      <c r="E16" s="139" t="s">
        <v>33</v>
      </c>
      <c r="F16" s="165">
        <f>(SUMPRODUCT(B8:B29,W8:W29))/B31</f>
        <v>0</v>
      </c>
      <c r="G16" s="127" t="s">
        <v>124</v>
      </c>
      <c r="I16" s="136" t="s">
        <v>149</v>
      </c>
      <c r="J16" s="170">
        <v>0</v>
      </c>
      <c r="K16" s="138" t="s">
        <v>150</v>
      </c>
      <c r="L16" s="139" t="s">
        <v>33</v>
      </c>
      <c r="M16" s="120">
        <f>IF(J31=0,0,(SUMPRODUCT(J8:J29,W8:W29))/J31)</f>
        <v>0</v>
      </c>
      <c r="N16" s="127" t="s">
        <v>124</v>
      </c>
      <c r="Q16" s="137" t="s">
        <v>149</v>
      </c>
      <c r="R16" s="134">
        <v>75</v>
      </c>
      <c r="S16" s="134">
        <v>35</v>
      </c>
      <c r="T16" s="134">
        <v>20</v>
      </c>
      <c r="U16" s="134">
        <v>35</v>
      </c>
      <c r="V16" s="134">
        <v>5</v>
      </c>
      <c r="W16" s="134">
        <v>5</v>
      </c>
      <c r="X16" s="134">
        <v>301</v>
      </c>
      <c r="Y16" s="134">
        <v>30</v>
      </c>
      <c r="Z16" s="135">
        <v>42</v>
      </c>
    </row>
    <row r="17" spans="1:27" x14ac:dyDescent="0.15">
      <c r="A17" s="136" t="s">
        <v>119</v>
      </c>
      <c r="B17" s="170">
        <v>0</v>
      </c>
      <c r="C17" s="126" t="s">
        <v>21</v>
      </c>
      <c r="D17" s="126"/>
      <c r="E17" s="139" t="s">
        <v>32</v>
      </c>
      <c r="F17" s="165">
        <f>(SUMPRODUCT(B8:B29,X8:X29))/B31</f>
        <v>0</v>
      </c>
      <c r="G17" s="127" t="s">
        <v>128</v>
      </c>
      <c r="I17" s="136" t="s">
        <v>119</v>
      </c>
      <c r="J17" s="170">
        <v>0</v>
      </c>
      <c r="K17" s="126" t="s">
        <v>21</v>
      </c>
      <c r="L17" s="139" t="s">
        <v>32</v>
      </c>
      <c r="M17" s="120">
        <f>IF(J31=0,0,(SUMPRODUCT(J8:J29,X8:X29))/J31)</f>
        <v>0</v>
      </c>
      <c r="N17" s="127" t="s">
        <v>128</v>
      </c>
      <c r="Q17" s="137" t="s">
        <v>166</v>
      </c>
      <c r="R17" s="134">
        <v>133</v>
      </c>
      <c r="S17" s="134">
        <v>55.4</v>
      </c>
      <c r="T17" s="134">
        <v>33.200000000000003</v>
      </c>
      <c r="U17" s="134">
        <v>54.3</v>
      </c>
      <c r="V17" s="134">
        <v>9.4</v>
      </c>
      <c r="W17" s="134">
        <v>11.1</v>
      </c>
      <c r="X17" s="134">
        <v>277</v>
      </c>
      <c r="Y17" s="134">
        <v>22.1</v>
      </c>
      <c r="Z17" s="140">
        <f>(30+11.9+8.5)/0.903</f>
        <v>55.813953488372093</v>
      </c>
    </row>
    <row r="18" spans="1:27" x14ac:dyDescent="0.15">
      <c r="A18" s="136" t="s">
        <v>120</v>
      </c>
      <c r="B18" s="170">
        <v>0</v>
      </c>
      <c r="C18" s="126" t="s">
        <v>21</v>
      </c>
      <c r="D18" s="126"/>
      <c r="E18" s="116" t="s">
        <v>31</v>
      </c>
      <c r="F18" s="166">
        <f>(SUMPRODUCT(B8:B29,Y8:Y29))/B31</f>
        <v>9.2121212121212128</v>
      </c>
      <c r="G18" s="127" t="s">
        <v>125</v>
      </c>
      <c r="I18" s="136" t="s">
        <v>120</v>
      </c>
      <c r="J18" s="170">
        <v>0</v>
      </c>
      <c r="K18" s="126" t="s">
        <v>21</v>
      </c>
      <c r="L18" s="116" t="s">
        <v>31</v>
      </c>
      <c r="M18" s="120">
        <f>IF(J31=0,0,(SUMPRODUCT(J8:J29,Y8:Y29))/J31)</f>
        <v>0</v>
      </c>
      <c r="N18" s="127" t="s">
        <v>125</v>
      </c>
      <c r="Q18" s="137" t="s">
        <v>167</v>
      </c>
      <c r="R18" s="134">
        <v>175</v>
      </c>
      <c r="S18" s="134">
        <v>50</v>
      </c>
      <c r="T18" s="134">
        <v>30</v>
      </c>
      <c r="U18" s="134">
        <v>49</v>
      </c>
      <c r="V18" s="134">
        <v>8.5</v>
      </c>
      <c r="W18" s="134">
        <v>10</v>
      </c>
      <c r="X18" s="134">
        <v>250</v>
      </c>
      <c r="Y18" s="134">
        <v>30</v>
      </c>
      <c r="Z18" s="140">
        <f>(11.9+30+8.5)/1.003</f>
        <v>50.249252243270192</v>
      </c>
    </row>
    <row r="19" spans="1:27" x14ac:dyDescent="0.15">
      <c r="A19" s="136" t="s">
        <v>104</v>
      </c>
      <c r="B19" s="170">
        <v>150</v>
      </c>
      <c r="C19" s="126" t="s">
        <v>21</v>
      </c>
      <c r="D19" s="126"/>
      <c r="E19" s="139" t="s">
        <v>183</v>
      </c>
      <c r="F19" s="165">
        <f>IF(B31=0,0,(SUMPRODUCT(B8:B29,Z8:Z29))/B31)</f>
        <v>0</v>
      </c>
      <c r="G19" s="127" t="s">
        <v>184</v>
      </c>
      <c r="I19" s="136" t="s">
        <v>104</v>
      </c>
      <c r="J19" s="170">
        <v>0</v>
      </c>
      <c r="K19" s="126" t="s">
        <v>21</v>
      </c>
      <c r="L19" s="139" t="s">
        <v>183</v>
      </c>
      <c r="M19" s="120">
        <f>IF(J31=0,0,(SUMPRODUCT(J8:J29,Z8:Z29))/J31)</f>
        <v>28</v>
      </c>
      <c r="N19" s="127" t="s">
        <v>184</v>
      </c>
      <c r="Q19" s="137" t="s">
        <v>104</v>
      </c>
      <c r="R19" s="134">
        <v>500</v>
      </c>
      <c r="S19" s="134"/>
      <c r="T19" s="134"/>
      <c r="U19" s="134"/>
      <c r="V19" s="134"/>
      <c r="W19" s="134"/>
      <c r="X19" s="134"/>
      <c r="Y19" s="134"/>
      <c r="Z19" s="135"/>
    </row>
    <row r="20" spans="1:27" x14ac:dyDescent="0.15">
      <c r="A20" s="136" t="s">
        <v>88</v>
      </c>
      <c r="B20" s="170">
        <v>25</v>
      </c>
      <c r="C20" s="126" t="s">
        <v>21</v>
      </c>
      <c r="D20" s="126"/>
      <c r="G20" s="142"/>
      <c r="I20" s="136" t="s">
        <v>88</v>
      </c>
      <c r="J20" s="170">
        <v>0</v>
      </c>
      <c r="K20" s="126" t="s">
        <v>21</v>
      </c>
      <c r="N20" s="142"/>
      <c r="Q20" s="137" t="s">
        <v>88</v>
      </c>
      <c r="R20" s="134"/>
      <c r="S20" s="134">
        <v>1700</v>
      </c>
      <c r="T20" s="134"/>
      <c r="U20" s="134">
        <v>1700</v>
      </c>
      <c r="V20" s="134"/>
      <c r="W20" s="134"/>
      <c r="X20" s="134"/>
      <c r="Y20" s="134"/>
      <c r="Z20" s="135"/>
    </row>
    <row r="21" spans="1:27" x14ac:dyDescent="0.15">
      <c r="A21" s="136" t="s">
        <v>147</v>
      </c>
      <c r="B21" s="170">
        <v>20</v>
      </c>
      <c r="C21" s="138" t="s">
        <v>148</v>
      </c>
      <c r="D21" s="126"/>
      <c r="G21" s="142"/>
      <c r="I21" s="136" t="s">
        <v>147</v>
      </c>
      <c r="J21" s="170">
        <v>0</v>
      </c>
      <c r="K21" s="138" t="s">
        <v>148</v>
      </c>
      <c r="N21" s="142"/>
      <c r="Q21" s="137" t="s">
        <v>146</v>
      </c>
      <c r="R21" s="134"/>
      <c r="S21" s="134"/>
      <c r="T21" s="134">
        <v>1000</v>
      </c>
      <c r="U21" s="134">
        <v>1000</v>
      </c>
      <c r="V21" s="134"/>
      <c r="W21" s="134"/>
      <c r="X21" s="134"/>
      <c r="Y21" s="134"/>
      <c r="Z21" s="135"/>
    </row>
    <row r="22" spans="1:27" x14ac:dyDescent="0.15">
      <c r="A22" s="136" t="s">
        <v>105</v>
      </c>
      <c r="B22" s="170">
        <v>60</v>
      </c>
      <c r="C22" s="126" t="s">
        <v>21</v>
      </c>
      <c r="D22" s="126"/>
      <c r="E22" s="116"/>
      <c r="F22" s="117"/>
      <c r="G22" s="127"/>
      <c r="I22" s="136" t="s">
        <v>105</v>
      </c>
      <c r="J22" s="170">
        <v>0</v>
      </c>
      <c r="K22" s="126" t="s">
        <v>21</v>
      </c>
      <c r="L22" s="116"/>
      <c r="M22" s="117"/>
      <c r="N22" s="127"/>
      <c r="Q22" s="137" t="s">
        <v>105</v>
      </c>
      <c r="R22" s="134"/>
      <c r="S22" s="134">
        <v>3</v>
      </c>
      <c r="T22" s="134"/>
      <c r="U22" s="134"/>
      <c r="V22" s="134"/>
      <c r="W22" s="134"/>
      <c r="X22" s="134"/>
      <c r="Y22" s="134">
        <v>76</v>
      </c>
      <c r="Z22" s="135"/>
    </row>
    <row r="23" spans="1:27" x14ac:dyDescent="0.15">
      <c r="A23" s="136" t="s">
        <v>7</v>
      </c>
      <c r="B23" s="170">
        <v>5</v>
      </c>
      <c r="C23" s="126" t="s">
        <v>145</v>
      </c>
      <c r="D23" s="126"/>
      <c r="E23" s="126"/>
      <c r="F23" s="126"/>
      <c r="G23" s="142"/>
      <c r="I23" s="136" t="s">
        <v>7</v>
      </c>
      <c r="J23" s="170">
        <v>0</v>
      </c>
      <c r="K23" s="126" t="s">
        <v>144</v>
      </c>
      <c r="L23" s="126"/>
      <c r="M23" s="126"/>
      <c r="N23" s="142"/>
      <c r="Q23" s="137" t="s">
        <v>7</v>
      </c>
      <c r="R23" s="134"/>
      <c r="S23" s="134"/>
      <c r="T23" s="134"/>
      <c r="U23" s="134"/>
      <c r="V23" s="134"/>
      <c r="W23" s="134"/>
      <c r="X23" s="134"/>
      <c r="Y23" s="134"/>
      <c r="Z23" s="135"/>
    </row>
    <row r="24" spans="1:27" x14ac:dyDescent="0.15">
      <c r="A24" s="136" t="s">
        <v>8</v>
      </c>
      <c r="B24" s="170">
        <v>2</v>
      </c>
      <c r="C24" s="126" t="s">
        <v>21</v>
      </c>
      <c r="D24" s="126"/>
      <c r="E24" s="126"/>
      <c r="F24" s="126"/>
      <c r="G24" s="142"/>
      <c r="I24" s="136" t="s">
        <v>8</v>
      </c>
      <c r="J24" s="170">
        <v>0</v>
      </c>
      <c r="K24" s="126" t="s">
        <v>21</v>
      </c>
      <c r="L24" s="126"/>
      <c r="M24" s="126"/>
      <c r="N24" s="142"/>
      <c r="Q24" s="137" t="s">
        <v>8</v>
      </c>
      <c r="R24" s="134"/>
      <c r="S24" s="134"/>
      <c r="T24" s="134"/>
      <c r="U24" s="134"/>
      <c r="V24" s="134"/>
      <c r="W24" s="134"/>
      <c r="X24" s="134"/>
      <c r="Y24" s="134"/>
      <c r="Z24" s="135"/>
    </row>
    <row r="25" spans="1:27" x14ac:dyDescent="0.15">
      <c r="A25" s="136" t="s">
        <v>4</v>
      </c>
      <c r="B25" s="170">
        <v>40</v>
      </c>
      <c r="C25" s="126" t="s">
        <v>21</v>
      </c>
      <c r="D25" s="126"/>
      <c r="E25" s="126"/>
      <c r="F25" s="126"/>
      <c r="G25" s="142"/>
      <c r="I25" s="136" t="s">
        <v>4</v>
      </c>
      <c r="J25" s="170">
        <v>0</v>
      </c>
      <c r="K25" s="126" t="s">
        <v>21</v>
      </c>
      <c r="L25" s="126"/>
      <c r="M25" s="126"/>
      <c r="N25" s="142"/>
      <c r="Q25" s="137" t="s">
        <v>4</v>
      </c>
      <c r="R25" s="134"/>
      <c r="S25" s="134"/>
      <c r="T25" s="134"/>
      <c r="U25" s="134"/>
      <c r="V25" s="134">
        <v>390</v>
      </c>
      <c r="W25" s="134"/>
      <c r="X25" s="134"/>
      <c r="Y25" s="134"/>
      <c r="Z25" s="135"/>
    </row>
    <row r="26" spans="1:27" x14ac:dyDescent="0.15">
      <c r="A26" s="136" t="s">
        <v>102</v>
      </c>
      <c r="B26" s="170">
        <v>0</v>
      </c>
      <c r="C26" s="126" t="s">
        <v>21</v>
      </c>
      <c r="D26" s="126"/>
      <c r="E26" s="126"/>
      <c r="F26" s="126"/>
      <c r="G26" s="142"/>
      <c r="I26" s="136" t="s">
        <v>102</v>
      </c>
      <c r="J26" s="170">
        <v>0</v>
      </c>
      <c r="K26" s="126" t="s">
        <v>21</v>
      </c>
      <c r="L26" s="126"/>
      <c r="M26" s="126"/>
      <c r="N26" s="142"/>
      <c r="Q26" s="137" t="s">
        <v>102</v>
      </c>
      <c r="R26" s="134"/>
      <c r="S26" s="134">
        <v>750</v>
      </c>
      <c r="T26" s="134"/>
      <c r="U26" s="134"/>
      <c r="V26" s="134"/>
      <c r="W26" s="134"/>
      <c r="X26" s="134">
        <v>15500</v>
      </c>
      <c r="Y26" s="134"/>
      <c r="Z26" s="135"/>
    </row>
    <row r="27" spans="1:27" x14ac:dyDescent="0.15">
      <c r="A27" s="136" t="s">
        <v>103</v>
      </c>
      <c r="B27" s="170">
        <v>0</v>
      </c>
      <c r="C27" s="126" t="s">
        <v>21</v>
      </c>
      <c r="D27" s="126"/>
      <c r="E27" s="126"/>
      <c r="F27" s="126"/>
      <c r="G27" s="142"/>
      <c r="I27" s="136" t="s">
        <v>103</v>
      </c>
      <c r="J27" s="170">
        <v>0</v>
      </c>
      <c r="K27" s="126" t="s">
        <v>21</v>
      </c>
      <c r="L27" s="126"/>
      <c r="M27" s="126"/>
      <c r="N27" s="142"/>
      <c r="Q27" s="137" t="s">
        <v>103</v>
      </c>
      <c r="R27" s="134"/>
      <c r="S27" s="134"/>
      <c r="T27" s="134"/>
      <c r="U27" s="134"/>
      <c r="V27" s="134"/>
      <c r="W27" s="134">
        <v>1000</v>
      </c>
      <c r="X27" s="134"/>
      <c r="Y27" s="134"/>
      <c r="Z27" s="135">
        <v>1000</v>
      </c>
    </row>
    <row r="28" spans="1:27" x14ac:dyDescent="0.15">
      <c r="A28" s="136" t="s">
        <v>168</v>
      </c>
      <c r="B28" s="170">
        <v>0</v>
      </c>
      <c r="C28" s="138" t="s">
        <v>169</v>
      </c>
      <c r="D28" s="126"/>
      <c r="E28" s="126"/>
      <c r="F28" s="126"/>
      <c r="G28" s="142"/>
      <c r="I28" s="136" t="s">
        <v>168</v>
      </c>
      <c r="J28" s="170">
        <v>0</v>
      </c>
      <c r="K28" s="138" t="s">
        <v>170</v>
      </c>
      <c r="L28" s="126"/>
      <c r="M28" s="126"/>
      <c r="N28" s="142"/>
      <c r="Q28" s="143" t="s">
        <v>168</v>
      </c>
      <c r="R28" s="144"/>
      <c r="S28" s="144">
        <v>833</v>
      </c>
      <c r="T28" s="144"/>
      <c r="U28" s="144"/>
      <c r="V28" s="144"/>
      <c r="W28" s="144"/>
      <c r="X28" s="144"/>
      <c r="Y28" s="144"/>
      <c r="Z28" s="145">
        <v>833</v>
      </c>
    </row>
    <row r="29" spans="1:27" x14ac:dyDescent="0.15">
      <c r="A29" s="136" t="s">
        <v>195</v>
      </c>
      <c r="B29" s="170">
        <v>0</v>
      </c>
      <c r="C29" s="126" t="s">
        <v>21</v>
      </c>
      <c r="D29" s="126"/>
      <c r="E29" s="131" t="s">
        <v>198</v>
      </c>
      <c r="F29" s="120">
        <f>IF(B31=0,"",B29*AA29/B31)</f>
        <v>0</v>
      </c>
      <c r="G29" s="142" t="s">
        <v>199</v>
      </c>
      <c r="I29" s="136" t="s">
        <v>196</v>
      </c>
      <c r="J29" s="170">
        <v>0</v>
      </c>
      <c r="K29" s="126" t="s">
        <v>21</v>
      </c>
      <c r="L29" s="146" t="s">
        <v>198</v>
      </c>
      <c r="M29" s="120">
        <f>IF(J31=0,"",J29*AA29/J31)</f>
        <v>0</v>
      </c>
      <c r="N29" s="142" t="s">
        <v>199</v>
      </c>
      <c r="Q29" s="147" t="s">
        <v>197</v>
      </c>
      <c r="R29" s="147"/>
      <c r="S29" s="147">
        <v>68</v>
      </c>
      <c r="T29" s="147"/>
      <c r="U29" s="147"/>
      <c r="V29" s="147"/>
      <c r="W29" s="147"/>
      <c r="X29" s="147"/>
      <c r="Y29" s="147"/>
      <c r="Z29" s="147"/>
      <c r="AA29" s="114">
        <v>1000</v>
      </c>
    </row>
    <row r="30" spans="1:27" x14ac:dyDescent="0.15">
      <c r="A30" s="136" t="s">
        <v>9</v>
      </c>
      <c r="B30" s="170">
        <v>193</v>
      </c>
      <c r="C30" s="126" t="s">
        <v>21</v>
      </c>
      <c r="D30" s="126"/>
      <c r="E30" s="126"/>
      <c r="F30" s="126"/>
      <c r="G30" s="142"/>
      <c r="I30" s="136" t="s">
        <v>9</v>
      </c>
      <c r="J30" s="170">
        <v>0</v>
      </c>
      <c r="K30" s="126" t="s">
        <v>21</v>
      </c>
      <c r="L30" s="126"/>
      <c r="M30" s="126"/>
      <c r="N30" s="142"/>
    </row>
    <row r="31" spans="1:27" x14ac:dyDescent="0.15">
      <c r="A31" s="148" t="s">
        <v>12</v>
      </c>
      <c r="B31" s="120">
        <f>SUM(B8:B30)</f>
        <v>495</v>
      </c>
      <c r="C31" s="126" t="s">
        <v>21</v>
      </c>
      <c r="D31" s="126"/>
      <c r="E31" s="149" t="s">
        <v>161</v>
      </c>
      <c r="F31" s="120">
        <f>B31/B32</f>
        <v>33</v>
      </c>
      <c r="G31" s="142" t="s">
        <v>162</v>
      </c>
      <c r="I31" s="148" t="s">
        <v>12</v>
      </c>
      <c r="J31" s="120">
        <f>SUM(J8:J30)</f>
        <v>500</v>
      </c>
      <c r="K31" s="126" t="s">
        <v>21</v>
      </c>
      <c r="L31" s="149" t="s">
        <v>161</v>
      </c>
      <c r="M31" s="120">
        <f>IF(J31=0,0,(J31/J32))</f>
        <v>50</v>
      </c>
      <c r="N31" s="142" t="s">
        <v>162</v>
      </c>
      <c r="Q31" s="114" t="s">
        <v>156</v>
      </c>
    </row>
    <row r="32" spans="1:27" ht="14.25" thickBot="1" x14ac:dyDescent="0.2">
      <c r="A32" s="150" t="s">
        <v>114</v>
      </c>
      <c r="B32" s="171">
        <v>15</v>
      </c>
      <c r="C32" s="151" t="s">
        <v>23</v>
      </c>
      <c r="D32" s="151"/>
      <c r="E32" s="152" t="s">
        <v>160</v>
      </c>
      <c r="F32" s="172">
        <v>24</v>
      </c>
      <c r="G32" s="153" t="s">
        <v>162</v>
      </c>
      <c r="I32" s="150" t="s">
        <v>114</v>
      </c>
      <c r="J32" s="171">
        <v>10</v>
      </c>
      <c r="K32" s="151" t="s">
        <v>23</v>
      </c>
      <c r="L32" s="152" t="s">
        <v>160</v>
      </c>
      <c r="M32" s="172">
        <v>24</v>
      </c>
      <c r="N32" s="153" t="s">
        <v>162</v>
      </c>
      <c r="Q32" s="114" t="s">
        <v>157</v>
      </c>
    </row>
    <row r="33" spans="1:14" ht="14.25" thickBot="1" x14ac:dyDescent="0.2"/>
    <row r="34" spans="1:14" x14ac:dyDescent="0.15">
      <c r="A34" s="154" t="s">
        <v>17</v>
      </c>
      <c r="B34" s="155"/>
      <c r="C34" s="155"/>
      <c r="D34" s="155"/>
      <c r="E34" s="155"/>
      <c r="F34" s="155"/>
      <c r="G34" s="156"/>
      <c r="H34" s="118"/>
      <c r="I34" s="174" t="s">
        <v>112</v>
      </c>
      <c r="J34" s="175" t="s">
        <v>48</v>
      </c>
      <c r="K34" s="176" t="s">
        <v>49</v>
      </c>
    </row>
    <row r="35" spans="1:14" x14ac:dyDescent="0.15">
      <c r="A35" s="157" t="s">
        <v>126</v>
      </c>
      <c r="B35" s="120">
        <f>B36*B37</f>
        <v>0</v>
      </c>
      <c r="C35" s="117" t="s">
        <v>21</v>
      </c>
      <c r="D35" s="126"/>
      <c r="E35" s="117" t="s">
        <v>137</v>
      </c>
      <c r="F35" s="117"/>
      <c r="G35" s="127"/>
      <c r="I35" s="177" t="s">
        <v>45</v>
      </c>
      <c r="J35" s="178">
        <f>B45</f>
        <v>0.36848484848484847</v>
      </c>
      <c r="K35" s="179">
        <f>IF(B42=0,0,J35*4/B42)</f>
        <v>4.7470331043098057E-2</v>
      </c>
    </row>
    <row r="36" spans="1:14" x14ac:dyDescent="0.15">
      <c r="A36" s="157" t="s">
        <v>19</v>
      </c>
      <c r="B36" s="170">
        <v>0</v>
      </c>
      <c r="C36" s="117" t="s">
        <v>24</v>
      </c>
      <c r="D36" s="126"/>
      <c r="E36" s="117" t="s">
        <v>140</v>
      </c>
      <c r="F36" s="117"/>
      <c r="G36" s="127"/>
      <c r="I36" s="177" t="s">
        <v>46</v>
      </c>
      <c r="J36" s="178">
        <f>B46</f>
        <v>0</v>
      </c>
      <c r="K36" s="179">
        <f>IF(B42=0,0,J36*9/B42)</f>
        <v>0</v>
      </c>
    </row>
    <row r="37" spans="1:14" ht="14.25" thickBot="1" x14ac:dyDescent="0.2">
      <c r="A37" s="158" t="s">
        <v>20</v>
      </c>
      <c r="B37" s="173">
        <v>0</v>
      </c>
      <c r="C37" s="159" t="s">
        <v>25</v>
      </c>
      <c r="D37" s="159"/>
      <c r="E37" s="159" t="s">
        <v>141</v>
      </c>
      <c r="F37" s="159"/>
      <c r="G37" s="160"/>
      <c r="I37" s="180" t="s">
        <v>47</v>
      </c>
      <c r="J37" s="181">
        <f>F9*60*F32/1000+M9*60*M32/1000</f>
        <v>7.3939393939393927</v>
      </c>
      <c r="K37" s="182">
        <f>IF(B42=0,0,J37*4/B42)</f>
        <v>0.95252966895690172</v>
      </c>
    </row>
    <row r="38" spans="1:14" ht="14.25" thickBot="1" x14ac:dyDescent="0.2"/>
    <row r="39" spans="1:14" ht="14.25" thickBot="1" x14ac:dyDescent="0.2">
      <c r="A39" s="161" t="s">
        <v>189</v>
      </c>
      <c r="B39" s="162"/>
      <c r="C39" s="162"/>
      <c r="D39" s="163"/>
    </row>
    <row r="40" spans="1:14" x14ac:dyDescent="0.15">
      <c r="A40" s="183" t="s">
        <v>117</v>
      </c>
      <c r="B40" s="210">
        <f>B32*F32+J32*M32+B35</f>
        <v>600</v>
      </c>
      <c r="C40" s="184" t="s">
        <v>118</v>
      </c>
      <c r="D40" s="185"/>
      <c r="E40" s="186" t="s">
        <v>14</v>
      </c>
      <c r="F40" s="213">
        <f>F10/1000*B32*F32/B5+M10/1000*J32*M32/B5</f>
        <v>6.9155555555555566</v>
      </c>
      <c r="G40" s="187" t="s">
        <v>59</v>
      </c>
      <c r="H40" s="188"/>
      <c r="I40" s="189" t="s">
        <v>123</v>
      </c>
      <c r="J40" s="214">
        <f>F15/1000*B32*F32/B5+M15/1000*J32*M32/B5</f>
        <v>1.3406060606060608</v>
      </c>
      <c r="K40" s="190" t="s">
        <v>59</v>
      </c>
      <c r="L40" s="186" t="s">
        <v>7</v>
      </c>
      <c r="M40" s="215">
        <f>IF(J31=0,0,B23/B31*B32*F32/B5+J23/J31*J32*M32/B5)</f>
        <v>0.40404040404040409</v>
      </c>
      <c r="N40" s="191" t="s">
        <v>55</v>
      </c>
    </row>
    <row r="41" spans="1:14" x14ac:dyDescent="0.15">
      <c r="A41" s="192"/>
      <c r="B41" s="167">
        <f>IF(B4=0,"-",B40/(B4*B5/3600)^0.5)</f>
        <v>1404.4937663535668</v>
      </c>
      <c r="C41" s="138" t="s">
        <v>190</v>
      </c>
      <c r="D41" s="193"/>
      <c r="E41" s="139" t="s">
        <v>163</v>
      </c>
      <c r="F41" s="120">
        <f>(F10*B32+M10*J32)/(B32+J32)</f>
        <v>103.73333333333333</v>
      </c>
      <c r="G41" s="164" t="s">
        <v>154</v>
      </c>
      <c r="H41" s="193"/>
      <c r="I41" s="194" t="s">
        <v>4</v>
      </c>
      <c r="J41" s="120">
        <f>IF(J31=0,0,B25/B31*B32*F32/B5+J25/J31*J32*M32/B5)</f>
        <v>3.2323232323232327</v>
      </c>
      <c r="K41" s="195" t="s">
        <v>55</v>
      </c>
      <c r="L41" s="139" t="s">
        <v>8</v>
      </c>
      <c r="M41" s="216">
        <f>IF(J31=0,0,B24/B31*B32*F32/B5+J24/J31*J32*M32/B5)</f>
        <v>0.16161616161616163</v>
      </c>
      <c r="N41" s="196" t="s">
        <v>55</v>
      </c>
    </row>
    <row r="42" spans="1:14" x14ac:dyDescent="0.15">
      <c r="A42" s="197" t="s">
        <v>28</v>
      </c>
      <c r="B42" s="210">
        <f>F9/1000*60*F32*4+M9/1000*60*M32*4+B45*4+B46*9</f>
        <v>31.049696969696971</v>
      </c>
      <c r="C42" s="164" t="s">
        <v>56</v>
      </c>
      <c r="D42" s="193"/>
      <c r="E42" s="139" t="s">
        <v>180</v>
      </c>
      <c r="F42" s="120">
        <f>F40*B5</f>
        <v>62.240000000000009</v>
      </c>
      <c r="G42" s="164" t="s">
        <v>181</v>
      </c>
      <c r="H42" s="193"/>
      <c r="I42" s="194" t="s">
        <v>32</v>
      </c>
      <c r="J42" s="132">
        <f>F17/1000*B32*F32/B5+M17/1000*J32*M32</f>
        <v>0</v>
      </c>
      <c r="K42" s="195" t="s">
        <v>136</v>
      </c>
      <c r="L42" s="146"/>
      <c r="M42" s="138"/>
      <c r="N42" s="198"/>
    </row>
    <row r="43" spans="1:14" x14ac:dyDescent="0.15">
      <c r="A43" s="199" t="s">
        <v>164</v>
      </c>
      <c r="B43" s="168">
        <f>B42*B5</f>
        <v>279.44727272727272</v>
      </c>
      <c r="C43" s="138" t="s">
        <v>165</v>
      </c>
      <c r="D43" s="193"/>
      <c r="E43" s="139" t="s">
        <v>180</v>
      </c>
      <c r="F43" s="120">
        <f>F40*B5/17</f>
        <v>3.6611764705882357</v>
      </c>
      <c r="G43" s="164" t="s">
        <v>182</v>
      </c>
      <c r="H43" s="193"/>
      <c r="I43" s="194" t="s">
        <v>132</v>
      </c>
      <c r="J43" s="120">
        <f>IF(J31=0,0,B26/B31*B32*F32/B5+J26/J31*J32*M32/B5)</f>
        <v>0</v>
      </c>
      <c r="K43" s="195" t="s">
        <v>55</v>
      </c>
      <c r="L43" s="146" t="s">
        <v>183</v>
      </c>
      <c r="M43" s="141">
        <f>(F19*B32*F32/1000+M19*J32*M32/1000)/B5</f>
        <v>0.74666666666666659</v>
      </c>
      <c r="N43" s="198" t="s">
        <v>188</v>
      </c>
    </row>
    <row r="44" spans="1:14" x14ac:dyDescent="0.15">
      <c r="A44" s="197" t="s">
        <v>30</v>
      </c>
      <c r="B44" s="211">
        <f>F9+M9</f>
        <v>5.134680134680135</v>
      </c>
      <c r="C44" s="164" t="s">
        <v>57</v>
      </c>
      <c r="D44" s="193"/>
      <c r="E44" s="139" t="s">
        <v>15</v>
      </c>
      <c r="F44" s="120">
        <f>F12/1000*B32*F32/B5+M12/1000*J32*M32/B5</f>
        <v>1.7228282828282826</v>
      </c>
      <c r="G44" s="164" t="s">
        <v>59</v>
      </c>
      <c r="H44" s="193"/>
      <c r="I44" s="194" t="s">
        <v>33</v>
      </c>
      <c r="J44" s="132">
        <f>F16/1000*B32*F32/B5+M16/1000*J32*M32</f>
        <v>0</v>
      </c>
      <c r="K44" s="195" t="s">
        <v>59</v>
      </c>
      <c r="L44" s="146" t="s">
        <v>185</v>
      </c>
      <c r="M44" s="120">
        <f>(F19*B32+M19*J32)/(B32+J32)</f>
        <v>11.2</v>
      </c>
      <c r="N44" s="198" t="s">
        <v>184</v>
      </c>
    </row>
    <row r="45" spans="1:14" x14ac:dyDescent="0.15">
      <c r="A45" s="197" t="s">
        <v>31</v>
      </c>
      <c r="B45" s="120">
        <f>F18/1000*B32*F32/B5+M18/1000*J32*M32/B5</f>
        <v>0.36848484848484847</v>
      </c>
      <c r="C45" s="164" t="s">
        <v>48</v>
      </c>
      <c r="D45" s="193"/>
      <c r="E45" s="139" t="s">
        <v>163</v>
      </c>
      <c r="F45" s="120">
        <f>(F12*B32+M12*J32)/(B32+J32)</f>
        <v>25.84242424242424</v>
      </c>
      <c r="G45" s="138" t="s">
        <v>155</v>
      </c>
      <c r="H45" s="193"/>
      <c r="I45" s="194" t="s">
        <v>103</v>
      </c>
      <c r="J45" s="141">
        <f>IF(J31=0,0,B27/B31*B32*F32/B5+J27/J31*J32*M32/B5)</f>
        <v>0</v>
      </c>
      <c r="K45" s="195" t="s">
        <v>55</v>
      </c>
      <c r="L45" s="146" t="s">
        <v>186</v>
      </c>
      <c r="M45" s="217">
        <f>F19*B32*F32/1000+M19*J32*M32/1000</f>
        <v>6.72</v>
      </c>
      <c r="N45" s="198" t="s">
        <v>187</v>
      </c>
    </row>
    <row r="46" spans="1:14" ht="14.25" thickBot="1" x14ac:dyDescent="0.2">
      <c r="A46" s="200" t="s">
        <v>34</v>
      </c>
      <c r="B46" s="212">
        <f>B35/5/B5</f>
        <v>0</v>
      </c>
      <c r="C46" s="201" t="s">
        <v>48</v>
      </c>
      <c r="D46" s="202"/>
      <c r="E46" s="203" t="s">
        <v>179</v>
      </c>
      <c r="F46" s="212">
        <f>F44*B5</f>
        <v>15.505454545454544</v>
      </c>
      <c r="G46" s="204" t="s">
        <v>177</v>
      </c>
      <c r="H46" s="202"/>
      <c r="I46" s="205"/>
      <c r="J46" s="206"/>
      <c r="K46" s="207"/>
      <c r="L46" s="203"/>
      <c r="M46" s="208"/>
      <c r="N46" s="209"/>
    </row>
    <row r="58" spans="1:8" x14ac:dyDescent="0.15">
      <c r="H58" s="118"/>
    </row>
    <row r="59" spans="1:8" x14ac:dyDescent="0.15">
      <c r="H59" s="118"/>
    </row>
    <row r="60" spans="1:8" x14ac:dyDescent="0.15">
      <c r="H60" s="118"/>
    </row>
    <row r="61" spans="1:8" x14ac:dyDescent="0.15">
      <c r="H61" s="118"/>
    </row>
    <row r="64" spans="1:8" x14ac:dyDescent="0.15">
      <c r="A64" s="164"/>
    </row>
  </sheetData>
  <sheetProtection sheet="1" objects="1" scenarios="1"/>
  <phoneticPr fontId="1"/>
  <conditionalFormatting sqref="A12">
    <cfRule type="expression" dxfId="201" priority="64">
      <formula>$B$12&gt;0</formula>
    </cfRule>
  </conditionalFormatting>
  <conditionalFormatting sqref="A13">
    <cfRule type="expression" dxfId="200" priority="63">
      <formula>$B$13&gt;0</formula>
    </cfRule>
  </conditionalFormatting>
  <conditionalFormatting sqref="A14">
    <cfRule type="expression" dxfId="199" priority="62">
      <formula>$B$14&gt;0</formula>
    </cfRule>
  </conditionalFormatting>
  <conditionalFormatting sqref="A15">
    <cfRule type="expression" dxfId="198" priority="61">
      <formula>$B$15&gt;0</formula>
    </cfRule>
  </conditionalFormatting>
  <conditionalFormatting sqref="A16">
    <cfRule type="expression" dxfId="197" priority="60">
      <formula>$B$16&gt;0</formula>
    </cfRule>
  </conditionalFormatting>
  <conditionalFormatting sqref="A17">
    <cfRule type="expression" dxfId="196" priority="59">
      <formula>$B$17&gt;0</formula>
    </cfRule>
  </conditionalFormatting>
  <conditionalFormatting sqref="A18">
    <cfRule type="expression" dxfId="195" priority="58">
      <formula>$B$18&gt;0</formula>
    </cfRule>
  </conditionalFormatting>
  <conditionalFormatting sqref="A19">
    <cfRule type="expression" dxfId="194" priority="57">
      <formula>$B$19&gt;0</formula>
    </cfRule>
  </conditionalFormatting>
  <conditionalFormatting sqref="A20">
    <cfRule type="expression" dxfId="193" priority="56">
      <formula>$B$20&gt;0</formula>
    </cfRule>
  </conditionalFormatting>
  <conditionalFormatting sqref="A22">
    <cfRule type="expression" dxfId="192" priority="53">
      <formula>$B$22&gt;0</formula>
    </cfRule>
  </conditionalFormatting>
  <conditionalFormatting sqref="A23">
    <cfRule type="expression" dxfId="191" priority="52">
      <formula>$B$23&gt;0</formula>
    </cfRule>
  </conditionalFormatting>
  <conditionalFormatting sqref="A24">
    <cfRule type="expression" dxfId="190" priority="51">
      <formula>$B$24&gt;0</formula>
    </cfRule>
  </conditionalFormatting>
  <conditionalFormatting sqref="A25">
    <cfRule type="expression" dxfId="189" priority="50">
      <formula>$B$25&gt;0</formula>
    </cfRule>
  </conditionalFormatting>
  <conditionalFormatting sqref="A26">
    <cfRule type="expression" dxfId="188" priority="49">
      <formula>$B$26&gt;0</formula>
    </cfRule>
  </conditionalFormatting>
  <conditionalFormatting sqref="A27:A28">
    <cfRule type="expression" dxfId="187" priority="48">
      <formula>$B$27&gt;0</formula>
    </cfRule>
  </conditionalFormatting>
  <conditionalFormatting sqref="A29">
    <cfRule type="expression" dxfId="186" priority="47">
      <formula>$B$29&gt;0</formula>
    </cfRule>
  </conditionalFormatting>
  <conditionalFormatting sqref="A30">
    <cfRule type="expression" dxfId="185" priority="46">
      <formula>$B$30&gt;0</formula>
    </cfRule>
  </conditionalFormatting>
  <conditionalFormatting sqref="I12">
    <cfRule type="expression" dxfId="184" priority="44">
      <formula>$J$12&gt;0</formula>
    </cfRule>
  </conditionalFormatting>
  <conditionalFormatting sqref="I13">
    <cfRule type="expression" dxfId="183" priority="43">
      <formula>$J$13&gt;0</formula>
    </cfRule>
  </conditionalFormatting>
  <conditionalFormatting sqref="I14">
    <cfRule type="expression" dxfId="182" priority="42">
      <formula>$J$14&gt;0</formula>
    </cfRule>
  </conditionalFormatting>
  <conditionalFormatting sqref="I15">
    <cfRule type="expression" dxfId="181" priority="41">
      <formula>$J$15&gt;0</formula>
    </cfRule>
  </conditionalFormatting>
  <conditionalFormatting sqref="I16">
    <cfRule type="expression" dxfId="180" priority="40">
      <formula>$J$16&gt;0</formula>
    </cfRule>
  </conditionalFormatting>
  <conditionalFormatting sqref="I17">
    <cfRule type="expression" dxfId="179" priority="39">
      <formula>$J$17&gt;0</formula>
    </cfRule>
  </conditionalFormatting>
  <conditionalFormatting sqref="I18">
    <cfRule type="expression" dxfId="178" priority="38">
      <formula>$J$18&gt;0</formula>
    </cfRule>
  </conditionalFormatting>
  <conditionalFormatting sqref="I19">
    <cfRule type="expression" dxfId="177" priority="37">
      <formula>$J$19&gt;0</formula>
    </cfRule>
  </conditionalFormatting>
  <conditionalFormatting sqref="I20">
    <cfRule type="expression" dxfId="176" priority="36">
      <formula>$J$20&gt;0</formula>
    </cfRule>
  </conditionalFormatting>
  <conditionalFormatting sqref="I22">
    <cfRule type="expression" dxfId="175" priority="31">
      <formula>$J$22&gt;0</formula>
    </cfRule>
  </conditionalFormatting>
  <conditionalFormatting sqref="I23">
    <cfRule type="expression" dxfId="174" priority="30">
      <formula>$J$23&gt;0</formula>
    </cfRule>
  </conditionalFormatting>
  <conditionalFormatting sqref="I24">
    <cfRule type="expression" dxfId="173" priority="29">
      <formula>$J$24&gt;0</formula>
    </cfRule>
  </conditionalFormatting>
  <conditionalFormatting sqref="I25">
    <cfRule type="expression" dxfId="172" priority="28">
      <formula>$J$25&gt;0</formula>
    </cfRule>
  </conditionalFormatting>
  <conditionalFormatting sqref="I26">
    <cfRule type="expression" dxfId="171" priority="27">
      <formula>$J$26&gt;0</formula>
    </cfRule>
  </conditionalFormatting>
  <conditionalFormatting sqref="I27:I28">
    <cfRule type="expression" dxfId="170" priority="26">
      <formula>$J$27&gt;0</formula>
    </cfRule>
  </conditionalFormatting>
  <conditionalFormatting sqref="I29">
    <cfRule type="expression" dxfId="169" priority="25">
      <formula>$J$29&gt;0</formula>
    </cfRule>
  </conditionalFormatting>
  <conditionalFormatting sqref="I30">
    <cfRule type="expression" dxfId="168" priority="24">
      <formula>$J$30&gt;0</formula>
    </cfRule>
  </conditionalFormatting>
  <conditionalFormatting sqref="A35">
    <cfRule type="expression" dxfId="167" priority="23">
      <formula>$B$35&gt;0</formula>
    </cfRule>
  </conditionalFormatting>
  <conditionalFormatting sqref="A8">
    <cfRule type="expression" dxfId="166" priority="22">
      <formula>$B$8&gt;0</formula>
    </cfRule>
  </conditionalFormatting>
  <conditionalFormatting sqref="A9">
    <cfRule type="expression" dxfId="165" priority="21">
      <formula>$B$9&gt;0</formula>
    </cfRule>
  </conditionalFormatting>
  <conditionalFormatting sqref="I8">
    <cfRule type="expression" dxfId="164" priority="20">
      <formula>$J$8&gt;0</formula>
    </cfRule>
  </conditionalFormatting>
  <conditionalFormatting sqref="I9">
    <cfRule type="expression" dxfId="163" priority="19">
      <formula>$J$9&gt;0</formula>
    </cfRule>
  </conditionalFormatting>
  <conditionalFormatting sqref="A28">
    <cfRule type="expression" dxfId="162" priority="18">
      <formula>$B$28&gt;0</formula>
    </cfRule>
  </conditionalFormatting>
  <conditionalFormatting sqref="I28">
    <cfRule type="expression" dxfId="161" priority="17">
      <formula>$J$28&gt;0</formula>
    </cfRule>
  </conditionalFormatting>
  <conditionalFormatting sqref="A11">
    <cfRule type="expression" dxfId="160" priority="11">
      <formula>$B$11&gt;0</formula>
    </cfRule>
  </conditionalFormatting>
  <conditionalFormatting sqref="I11">
    <cfRule type="expression" dxfId="159" priority="10">
      <formula>$J$11&gt;0</formula>
    </cfRule>
  </conditionalFormatting>
  <conditionalFormatting sqref="F12">
    <cfRule type="expression" dxfId="158" priority="9">
      <formula>$F$12&gt;40</formula>
    </cfRule>
  </conditionalFormatting>
  <conditionalFormatting sqref="M12">
    <cfRule type="expression" dxfId="157" priority="8">
      <formula>$M$12&gt;40</formula>
    </cfRule>
  </conditionalFormatting>
  <conditionalFormatting sqref="F46">
    <cfRule type="expression" dxfId="156" priority="7">
      <formula>$F$46&gt;100</formula>
    </cfRule>
  </conditionalFormatting>
  <conditionalFormatting sqref="F13">
    <cfRule type="expression" dxfId="155" priority="6">
      <formula>$F$13&gt;100</formula>
    </cfRule>
  </conditionalFormatting>
  <conditionalFormatting sqref="M13">
    <cfRule type="expression" dxfId="154" priority="5">
      <formula>$M$13&gt;100</formula>
    </cfRule>
  </conditionalFormatting>
  <conditionalFormatting sqref="I10">
    <cfRule type="expression" dxfId="153" priority="4">
      <formula>$J$10&gt;0</formula>
    </cfRule>
  </conditionalFormatting>
  <conditionalFormatting sqref="A10">
    <cfRule type="expression" dxfId="152" priority="3">
      <formula>$B$10&gt;0</formula>
    </cfRule>
  </conditionalFormatting>
  <conditionalFormatting sqref="A21">
    <cfRule type="expression" dxfId="151" priority="104">
      <formula>($F$44*$B$5)&gt;100</formula>
    </cfRule>
    <cfRule type="expression" dxfId="150" priority="105">
      <formula>$F$13&gt;100</formula>
    </cfRule>
    <cfRule type="expression" dxfId="149" priority="106">
      <formula>$F$12&gt;40</formula>
    </cfRule>
    <cfRule type="expression" dxfId="148" priority="107">
      <formula>$F$45&gt;40</formula>
    </cfRule>
    <cfRule type="expression" dxfId="147" priority="108">
      <formula>$B$21&gt;0</formula>
    </cfRule>
  </conditionalFormatting>
  <conditionalFormatting sqref="I21">
    <cfRule type="expression" dxfId="146" priority="109">
      <formula>($F$44*$B$5)&gt;100</formula>
    </cfRule>
    <cfRule type="expression" dxfId="145" priority="110">
      <formula>$M$13&gt;100</formula>
    </cfRule>
    <cfRule type="expression" dxfId="144" priority="111">
      <formula>$F$45&gt;40</formula>
    </cfRule>
    <cfRule type="expression" dxfId="143" priority="112">
      <formula>$M$12&gt;40</formula>
    </cfRule>
    <cfRule type="expression" dxfId="142" priority="113">
      <formula>$J$21&gt;0</formula>
    </cfRule>
  </conditionalFormatting>
  <conditionalFormatting sqref="F29">
    <cfRule type="expression" dxfId="141" priority="2">
      <formula>$F$29&gt;1.1</formula>
    </cfRule>
  </conditionalFormatting>
  <conditionalFormatting sqref="M29">
    <cfRule type="expression" dxfId="140" priority="1">
      <formula>$M$29&gt;1.1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C9FCB-4B68-491C-9013-BCDD89746544}">
  <dimension ref="A1:AA64"/>
  <sheetViews>
    <sheetView tabSelected="1" zoomScaleNormal="100" workbookViewId="0">
      <selection activeCell="F12" sqref="F12"/>
    </sheetView>
  </sheetViews>
  <sheetFormatPr defaultRowHeight="13.5" x14ac:dyDescent="0.15"/>
  <cols>
    <col min="1" max="1" width="18.875" style="114" customWidth="1"/>
    <col min="2" max="2" width="8.125" style="114" customWidth="1"/>
    <col min="3" max="3" width="5.625" style="114" customWidth="1"/>
    <col min="4" max="4" width="5" style="114" customWidth="1"/>
    <col min="5" max="5" width="17.5" style="114" customWidth="1"/>
    <col min="6" max="6" width="8.125" style="114" customWidth="1"/>
    <col min="7" max="7" width="9.625" style="114" customWidth="1"/>
    <col min="8" max="8" width="2.625" style="114" customWidth="1"/>
    <col min="9" max="9" width="18.5" style="114" customWidth="1"/>
    <col min="10" max="10" width="8.25" style="114" customWidth="1"/>
    <col min="11" max="11" width="10.75" style="114" customWidth="1"/>
    <col min="12" max="12" width="17.5" style="114" customWidth="1"/>
    <col min="13" max="13" width="8.75" style="114" customWidth="1"/>
    <col min="14" max="14" width="10.625" style="114" customWidth="1"/>
    <col min="15" max="16" width="6.75" style="114" bestFit="1" customWidth="1"/>
    <col min="17" max="17" width="20.75" style="114" customWidth="1"/>
    <col min="18" max="18" width="4.5" style="114" bestFit="1" customWidth="1"/>
    <col min="19" max="23" width="6.75" style="114" bestFit="1" customWidth="1"/>
    <col min="24" max="24" width="6.5" style="114" bestFit="1" customWidth="1"/>
    <col min="25" max="25" width="7.625" style="114" bestFit="1" customWidth="1"/>
    <col min="26" max="16384" width="9" style="114"/>
  </cols>
  <sheetData>
    <row r="1" spans="1:27" x14ac:dyDescent="0.15">
      <c r="A1" s="169"/>
      <c r="B1" s="114" t="s">
        <v>62</v>
      </c>
    </row>
    <row r="2" spans="1:27" x14ac:dyDescent="0.15">
      <c r="A2" s="115"/>
      <c r="B2" s="114" t="s">
        <v>63</v>
      </c>
    </row>
    <row r="4" spans="1:27" x14ac:dyDescent="0.15">
      <c r="A4" s="116" t="s">
        <v>191</v>
      </c>
      <c r="B4" s="170">
        <v>101</v>
      </c>
      <c r="C4" s="117" t="s">
        <v>192</v>
      </c>
      <c r="D4" s="118"/>
      <c r="E4" s="118"/>
      <c r="F4" s="118"/>
      <c r="G4" s="118"/>
      <c r="I4" s="118"/>
      <c r="J4" s="118"/>
      <c r="K4" s="118"/>
    </row>
    <row r="5" spans="1:27" x14ac:dyDescent="0.15">
      <c r="A5" s="116" t="s">
        <v>26</v>
      </c>
      <c r="B5" s="170">
        <v>12.6</v>
      </c>
      <c r="C5" s="117" t="s">
        <v>111</v>
      </c>
      <c r="D5" s="118"/>
      <c r="E5" s="119" t="s">
        <v>193</v>
      </c>
      <c r="F5" s="216">
        <f>SQRT(B4*B5/3600)</f>
        <v>0.59455865984778999</v>
      </c>
      <c r="G5" s="118" t="s">
        <v>194</v>
      </c>
      <c r="I5" s="118"/>
      <c r="J5" s="118"/>
      <c r="K5" s="118"/>
      <c r="Q5" s="114" t="s">
        <v>130</v>
      </c>
    </row>
    <row r="6" spans="1:27" ht="14.25" thickBot="1" x14ac:dyDescent="0.2">
      <c r="A6" s="118"/>
      <c r="C6" s="118"/>
      <c r="Q6" s="118"/>
      <c r="R6" s="118" t="s">
        <v>125</v>
      </c>
      <c r="S6" s="118" t="s">
        <v>124</v>
      </c>
      <c r="T6" s="118" t="s">
        <v>124</v>
      </c>
      <c r="U6" s="118" t="s">
        <v>124</v>
      </c>
      <c r="V6" s="118" t="s">
        <v>124</v>
      </c>
      <c r="W6" s="118" t="s">
        <v>124</v>
      </c>
      <c r="X6" s="118" t="s">
        <v>128</v>
      </c>
      <c r="Y6" s="118" t="s">
        <v>125</v>
      </c>
      <c r="Z6" s="118" t="s">
        <v>124</v>
      </c>
      <c r="AA6" s="118" t="s">
        <v>199</v>
      </c>
    </row>
    <row r="7" spans="1:27" x14ac:dyDescent="0.15">
      <c r="A7" s="121" t="s">
        <v>113</v>
      </c>
      <c r="B7" s="122"/>
      <c r="C7" s="122"/>
      <c r="D7" s="122"/>
      <c r="E7" s="123" t="s">
        <v>127</v>
      </c>
      <c r="F7" s="122"/>
      <c r="G7" s="124"/>
      <c r="I7" s="121" t="s">
        <v>116</v>
      </c>
      <c r="J7" s="122"/>
      <c r="K7" s="122"/>
      <c r="L7" s="123" t="s">
        <v>131</v>
      </c>
      <c r="M7" s="122"/>
      <c r="N7" s="124"/>
      <c r="R7" s="114" t="s">
        <v>121</v>
      </c>
      <c r="S7" s="114" t="s">
        <v>14</v>
      </c>
      <c r="T7" s="114" t="s">
        <v>15</v>
      </c>
      <c r="U7" s="114" t="s">
        <v>16</v>
      </c>
      <c r="V7" s="114" t="s">
        <v>123</v>
      </c>
      <c r="W7" s="114" t="s">
        <v>33</v>
      </c>
      <c r="X7" s="114" t="s">
        <v>32</v>
      </c>
      <c r="Y7" s="114" t="s">
        <v>31</v>
      </c>
      <c r="Z7" s="114" t="s">
        <v>183</v>
      </c>
      <c r="AA7" s="114" t="s">
        <v>37</v>
      </c>
    </row>
    <row r="8" spans="1:27" x14ac:dyDescent="0.15">
      <c r="A8" s="125" t="str">
        <f t="shared" ref="A8:A29" si="0">Q8</f>
        <v>生理食塩液</v>
      </c>
      <c r="B8" s="170">
        <v>0</v>
      </c>
      <c r="C8" s="126" t="s">
        <v>21</v>
      </c>
      <c r="D8" s="126"/>
      <c r="E8" s="116" t="s">
        <v>13</v>
      </c>
      <c r="F8" s="165">
        <f>(SUMPRODUCT(B8:B29,R8:R29))/1000/B31*100</f>
        <v>12.280061349693252</v>
      </c>
      <c r="G8" s="127" t="s">
        <v>135</v>
      </c>
      <c r="I8" s="125" t="str">
        <f t="shared" ref="I8:I29" si="1">Q8</f>
        <v>生理食塩液</v>
      </c>
      <c r="J8" s="170">
        <v>0</v>
      </c>
      <c r="K8" s="126" t="s">
        <v>21</v>
      </c>
      <c r="L8" s="116" t="s">
        <v>13</v>
      </c>
      <c r="M8" s="120">
        <f>IF(J31=0,0,(SUMPRODUCT(J8:J29,R8:R29))/1000/J31*100)</f>
        <v>5</v>
      </c>
      <c r="N8" s="127" t="s">
        <v>135</v>
      </c>
      <c r="P8" s="126"/>
      <c r="Q8" s="128" t="s">
        <v>158</v>
      </c>
      <c r="R8" s="129"/>
      <c r="S8" s="129">
        <v>154</v>
      </c>
      <c r="T8" s="129"/>
      <c r="U8" s="129">
        <v>154</v>
      </c>
      <c r="V8" s="129"/>
      <c r="W8" s="129"/>
      <c r="X8" s="129"/>
      <c r="Y8" s="129"/>
      <c r="Z8" s="130"/>
    </row>
    <row r="9" spans="1:27" x14ac:dyDescent="0.15">
      <c r="A9" s="125" t="str">
        <f t="shared" si="0"/>
        <v>5%ブドウ糖液</v>
      </c>
      <c r="B9" s="170">
        <v>0</v>
      </c>
      <c r="C9" s="126" t="s">
        <v>21</v>
      </c>
      <c r="D9" s="126"/>
      <c r="E9" s="131" t="s">
        <v>30</v>
      </c>
      <c r="F9" s="165">
        <f>(SUMPRODUCT(B8:B29,R8:R29))/B31*B32/60/B5</f>
        <v>8.1217336968870715</v>
      </c>
      <c r="G9" s="127" t="s">
        <v>57</v>
      </c>
      <c r="I9" s="125" t="str">
        <f t="shared" si="1"/>
        <v>5%ブドウ糖液</v>
      </c>
      <c r="J9" s="170">
        <v>0</v>
      </c>
      <c r="K9" s="126" t="s">
        <v>21</v>
      </c>
      <c r="L9" s="131" t="s">
        <v>30</v>
      </c>
      <c r="M9" s="120">
        <f>IF(J31=0,0,(SUMPRODUCT(J8:J29,R8:R29))/J31*J32/60/B5)</f>
        <v>3.306878306878307</v>
      </c>
      <c r="N9" s="127" t="s">
        <v>57</v>
      </c>
      <c r="P9" s="126"/>
      <c r="Q9" s="133" t="s">
        <v>159</v>
      </c>
      <c r="R9" s="134">
        <v>50</v>
      </c>
      <c r="S9" s="134"/>
      <c r="T9" s="134"/>
      <c r="U9" s="134"/>
      <c r="V9" s="134"/>
      <c r="W9" s="134"/>
      <c r="X9" s="134"/>
      <c r="Y9" s="134"/>
      <c r="Z9" s="135"/>
    </row>
    <row r="10" spans="1:27" x14ac:dyDescent="0.15">
      <c r="A10" s="136" t="str">
        <f t="shared" si="0"/>
        <v>ヴィーンD</v>
      </c>
      <c r="B10" s="170">
        <v>0</v>
      </c>
      <c r="C10" s="126" t="s">
        <v>21</v>
      </c>
      <c r="D10" s="126"/>
      <c r="E10" s="116" t="s">
        <v>14</v>
      </c>
      <c r="F10" s="165">
        <f>(SUMPRODUCT(B8:B29,S8:S29))/B31</f>
        <v>138.06359918200411</v>
      </c>
      <c r="G10" s="127" t="s">
        <v>124</v>
      </c>
      <c r="I10" s="136" t="str">
        <f t="shared" si="1"/>
        <v>ヴィーンD</v>
      </c>
      <c r="J10" s="170">
        <v>500</v>
      </c>
      <c r="K10" s="126" t="s">
        <v>21</v>
      </c>
      <c r="L10" s="116" t="s">
        <v>14</v>
      </c>
      <c r="M10" s="120">
        <f>IF(J31=0,0,(SUMPRODUCT(J8:J29,S8:S29))/J31)</f>
        <v>130</v>
      </c>
      <c r="N10" s="127" t="s">
        <v>124</v>
      </c>
      <c r="Q10" s="137" t="s">
        <v>97</v>
      </c>
      <c r="R10" s="134">
        <v>50</v>
      </c>
      <c r="S10" s="134">
        <v>130</v>
      </c>
      <c r="T10" s="134">
        <v>4</v>
      </c>
      <c r="U10" s="134">
        <v>109</v>
      </c>
      <c r="V10" s="134">
        <v>3</v>
      </c>
      <c r="W10" s="134"/>
      <c r="X10" s="134"/>
      <c r="Y10" s="134"/>
      <c r="Z10" s="135">
        <v>28</v>
      </c>
    </row>
    <row r="11" spans="1:27" x14ac:dyDescent="0.15">
      <c r="A11" s="136" t="str">
        <f t="shared" si="0"/>
        <v>ヴィーンF</v>
      </c>
      <c r="B11" s="170">
        <v>0</v>
      </c>
      <c r="C11" s="138" t="s">
        <v>21</v>
      </c>
      <c r="D11" s="126"/>
      <c r="E11" s="116" t="s">
        <v>176</v>
      </c>
      <c r="F11" s="165">
        <f>F10*B32*F32/1000</f>
        <v>135.02620000000002</v>
      </c>
      <c r="G11" s="127" t="s">
        <v>177</v>
      </c>
      <c r="I11" s="136" t="str">
        <f t="shared" si="1"/>
        <v>ヴィーンF</v>
      </c>
      <c r="J11" s="170">
        <v>0</v>
      </c>
      <c r="K11" s="138" t="s">
        <v>21</v>
      </c>
      <c r="L11" s="116" t="s">
        <v>176</v>
      </c>
      <c r="M11" s="120">
        <f>M10*J32*M32/1000</f>
        <v>28.860000000000007</v>
      </c>
      <c r="N11" s="127" t="s">
        <v>177</v>
      </c>
      <c r="Q11" s="137" t="s">
        <v>203</v>
      </c>
      <c r="R11" s="134"/>
      <c r="S11" s="134">
        <v>130</v>
      </c>
      <c r="T11" s="134">
        <v>4</v>
      </c>
      <c r="U11" s="134">
        <v>109</v>
      </c>
      <c r="V11" s="134">
        <v>3</v>
      </c>
      <c r="W11" s="134"/>
      <c r="X11" s="134"/>
      <c r="Y11" s="134"/>
      <c r="Z11" s="135">
        <v>28</v>
      </c>
    </row>
    <row r="12" spans="1:27" x14ac:dyDescent="0.15">
      <c r="A12" s="136" t="str">
        <f t="shared" si="0"/>
        <v>ソルデム1輸液</v>
      </c>
      <c r="B12" s="170">
        <v>0</v>
      </c>
      <c r="C12" s="126" t="s">
        <v>21</v>
      </c>
      <c r="D12" s="126"/>
      <c r="E12" s="116" t="s">
        <v>15</v>
      </c>
      <c r="F12" s="165">
        <f>(SUMPRODUCT(B8:B29,T8:T29))/B31</f>
        <v>30.653987730061353</v>
      </c>
      <c r="G12" s="127" t="s">
        <v>124</v>
      </c>
      <c r="I12" s="136" t="str">
        <f t="shared" si="1"/>
        <v>ソルデム1輸液</v>
      </c>
      <c r="J12" s="170">
        <v>0</v>
      </c>
      <c r="K12" s="126" t="s">
        <v>21</v>
      </c>
      <c r="L12" s="116" t="s">
        <v>15</v>
      </c>
      <c r="M12" s="120">
        <f>IF(J31=0,0,(SUMPRODUCT(J8:J29,T8:T29))/J31)</f>
        <v>4</v>
      </c>
      <c r="N12" s="127" t="s">
        <v>124</v>
      </c>
      <c r="Q12" s="137" t="s">
        <v>152</v>
      </c>
      <c r="R12" s="134">
        <v>26</v>
      </c>
      <c r="S12" s="134">
        <v>90</v>
      </c>
      <c r="T12" s="134">
        <v>0</v>
      </c>
      <c r="U12" s="134">
        <v>70</v>
      </c>
      <c r="V12" s="134"/>
      <c r="W12" s="134"/>
      <c r="X12" s="134"/>
      <c r="Y12" s="134"/>
      <c r="Z12" s="135">
        <v>20</v>
      </c>
    </row>
    <row r="13" spans="1:27" x14ac:dyDescent="0.15">
      <c r="A13" s="136" t="str">
        <f t="shared" si="0"/>
        <v>ハルトマン</v>
      </c>
      <c r="B13" s="170">
        <v>0</v>
      </c>
      <c r="C13" s="126" t="s">
        <v>21</v>
      </c>
      <c r="D13" s="126"/>
      <c r="E13" s="116" t="s">
        <v>171</v>
      </c>
      <c r="F13" s="165">
        <f>F12*B32*F32/1000</f>
        <v>29.979600000000001</v>
      </c>
      <c r="G13" s="127" t="s">
        <v>177</v>
      </c>
      <c r="I13" s="136" t="str">
        <f t="shared" si="1"/>
        <v>ハルトマン</v>
      </c>
      <c r="J13" s="170">
        <v>0</v>
      </c>
      <c r="K13" s="126" t="s">
        <v>21</v>
      </c>
      <c r="L13" s="116" t="s">
        <v>171</v>
      </c>
      <c r="M13" s="120">
        <f>M12*J32*M32/1000</f>
        <v>0.88800000000000023</v>
      </c>
      <c r="N13" s="127" t="s">
        <v>172</v>
      </c>
      <c r="Q13" s="137" t="s">
        <v>98</v>
      </c>
      <c r="R13" s="134">
        <v>43</v>
      </c>
      <c r="S13" s="134">
        <v>35</v>
      </c>
      <c r="T13" s="134">
        <v>20</v>
      </c>
      <c r="U13" s="134">
        <v>35</v>
      </c>
      <c r="V13" s="134"/>
      <c r="W13" s="134"/>
      <c r="X13" s="134"/>
      <c r="Y13" s="134"/>
      <c r="Z13" s="135">
        <v>20</v>
      </c>
    </row>
    <row r="14" spans="1:27" x14ac:dyDescent="0.15">
      <c r="A14" s="136" t="str">
        <f t="shared" si="0"/>
        <v>フィジオ140</v>
      </c>
      <c r="B14" s="170">
        <v>0</v>
      </c>
      <c r="C14" s="126" t="s">
        <v>21</v>
      </c>
      <c r="D14" s="126"/>
      <c r="E14" s="116" t="s">
        <v>16</v>
      </c>
      <c r="F14" s="165">
        <f>(SUMPRODUCT(B8:B29,U8:U29))/B31</f>
        <v>137.04795501022494</v>
      </c>
      <c r="G14" s="127" t="s">
        <v>124</v>
      </c>
      <c r="I14" s="136" t="str">
        <f t="shared" si="1"/>
        <v>フィジオ140</v>
      </c>
      <c r="J14" s="170">
        <v>0</v>
      </c>
      <c r="K14" s="126" t="s">
        <v>21</v>
      </c>
      <c r="L14" s="116" t="s">
        <v>16</v>
      </c>
      <c r="M14" s="120">
        <f>IF(J31=0,0,(SUMPRODUCT(J8:J29,U8:U29))/J31)</f>
        <v>109</v>
      </c>
      <c r="N14" s="127" t="s">
        <v>124</v>
      </c>
      <c r="Q14" s="137" t="s">
        <v>106</v>
      </c>
      <c r="R14" s="134">
        <v>10</v>
      </c>
      <c r="S14" s="134">
        <v>140</v>
      </c>
      <c r="T14" s="134">
        <v>4</v>
      </c>
      <c r="U14" s="134">
        <v>115</v>
      </c>
      <c r="V14" s="134">
        <v>3</v>
      </c>
      <c r="W14" s="134">
        <v>2</v>
      </c>
      <c r="X14" s="134"/>
      <c r="Y14" s="134"/>
      <c r="Z14" s="135">
        <v>34</v>
      </c>
    </row>
    <row r="15" spans="1:27" x14ac:dyDescent="0.15">
      <c r="A15" s="136" t="str">
        <f t="shared" si="0"/>
        <v>フィジオ35</v>
      </c>
      <c r="B15" s="170">
        <v>0</v>
      </c>
      <c r="C15" s="126" t="s">
        <v>21</v>
      </c>
      <c r="D15" s="126"/>
      <c r="E15" s="139" t="s">
        <v>123</v>
      </c>
      <c r="F15" s="165">
        <f>(SUMPRODUCT(B8:B29,V8:V29))/B31</f>
        <v>8.6791411042944802</v>
      </c>
      <c r="G15" s="127" t="s">
        <v>124</v>
      </c>
      <c r="I15" s="136" t="str">
        <f t="shared" si="1"/>
        <v>フィジオ35</v>
      </c>
      <c r="J15" s="170">
        <v>0</v>
      </c>
      <c r="K15" s="126" t="s">
        <v>21</v>
      </c>
      <c r="L15" s="139" t="s">
        <v>123</v>
      </c>
      <c r="M15" s="120">
        <f>IF(J31=0,0,(SUMPRODUCT(J8:J29,V8:V29))/J31)</f>
        <v>3</v>
      </c>
      <c r="N15" s="127" t="s">
        <v>124</v>
      </c>
      <c r="Q15" s="137" t="s">
        <v>99</v>
      </c>
      <c r="R15" s="134">
        <v>100</v>
      </c>
      <c r="S15" s="134">
        <v>35</v>
      </c>
      <c r="T15" s="134">
        <v>20</v>
      </c>
      <c r="U15" s="134">
        <v>28</v>
      </c>
      <c r="V15" s="134">
        <v>5</v>
      </c>
      <c r="W15" s="134">
        <v>3</v>
      </c>
      <c r="X15" s="134"/>
      <c r="Y15" s="134"/>
      <c r="Z15" s="135">
        <v>25</v>
      </c>
    </row>
    <row r="16" spans="1:27" x14ac:dyDescent="0.15">
      <c r="A16" s="136" t="str">
        <f t="shared" si="0"/>
        <v>ビーフリード</v>
      </c>
      <c r="B16" s="170">
        <v>0</v>
      </c>
      <c r="C16" s="138" t="s">
        <v>21</v>
      </c>
      <c r="D16" s="126"/>
      <c r="E16" s="139" t="s">
        <v>33</v>
      </c>
      <c r="F16" s="165">
        <f>(SUMPRODUCT(B8:B29,W8:W29))/B31</f>
        <v>10.248773006134968</v>
      </c>
      <c r="G16" s="127" t="s">
        <v>124</v>
      </c>
      <c r="I16" s="136" t="str">
        <f t="shared" si="1"/>
        <v>ビーフリード</v>
      </c>
      <c r="J16" s="170">
        <v>0</v>
      </c>
      <c r="K16" s="138" t="s">
        <v>21</v>
      </c>
      <c r="L16" s="139" t="s">
        <v>33</v>
      </c>
      <c r="M16" s="120">
        <f>IF(J31=0,0,(SUMPRODUCT(J8:J29,W8:W29))/J31)</f>
        <v>0</v>
      </c>
      <c r="N16" s="127" t="s">
        <v>124</v>
      </c>
      <c r="Q16" s="137" t="s">
        <v>149</v>
      </c>
      <c r="R16" s="134">
        <v>75</v>
      </c>
      <c r="S16" s="134">
        <v>35</v>
      </c>
      <c r="T16" s="134">
        <v>20</v>
      </c>
      <c r="U16" s="134">
        <v>35</v>
      </c>
      <c r="V16" s="134">
        <v>5</v>
      </c>
      <c r="W16" s="134">
        <v>5</v>
      </c>
      <c r="X16" s="134">
        <v>301</v>
      </c>
      <c r="Y16" s="134">
        <v>30</v>
      </c>
      <c r="Z16" s="135">
        <v>42</v>
      </c>
    </row>
    <row r="17" spans="1:27" x14ac:dyDescent="0.15">
      <c r="A17" s="218" t="str">
        <f t="shared" si="0"/>
        <v>フルカリック1号液(903ml)</v>
      </c>
      <c r="B17" s="170">
        <v>903</v>
      </c>
      <c r="C17" s="126" t="s">
        <v>21</v>
      </c>
      <c r="D17" s="126"/>
      <c r="E17" s="139" t="s">
        <v>32</v>
      </c>
      <c r="F17" s="165">
        <f>(SUMPRODUCT(B8:B29,X8:X29))/B31</f>
        <v>255.75766871165644</v>
      </c>
      <c r="G17" s="127" t="s">
        <v>128</v>
      </c>
      <c r="I17" s="218" t="str">
        <f t="shared" si="1"/>
        <v>フルカリック1号液(903ml)</v>
      </c>
      <c r="J17" s="170">
        <v>0</v>
      </c>
      <c r="K17" s="126" t="s">
        <v>21</v>
      </c>
      <c r="L17" s="139" t="s">
        <v>32</v>
      </c>
      <c r="M17" s="120">
        <f>IF(J31=0,0,(SUMPRODUCT(J8:J29,X8:X29))/J31)</f>
        <v>0</v>
      </c>
      <c r="N17" s="127" t="s">
        <v>128</v>
      </c>
      <c r="Q17" s="137" t="s">
        <v>166</v>
      </c>
      <c r="R17" s="134">
        <v>133</v>
      </c>
      <c r="S17" s="134">
        <v>55.4</v>
      </c>
      <c r="T17" s="134">
        <v>33.200000000000003</v>
      </c>
      <c r="U17" s="134">
        <v>54.3</v>
      </c>
      <c r="V17" s="134">
        <v>9.4</v>
      </c>
      <c r="W17" s="134">
        <v>11.1</v>
      </c>
      <c r="X17" s="134">
        <v>277</v>
      </c>
      <c r="Y17" s="134">
        <v>22.1</v>
      </c>
      <c r="Z17" s="140">
        <f>(30+11.9+8.5)/0.903</f>
        <v>55.813953488372093</v>
      </c>
    </row>
    <row r="18" spans="1:27" x14ac:dyDescent="0.15">
      <c r="A18" s="218" t="str">
        <f t="shared" si="0"/>
        <v>フルカリック2号液(1003ml)</v>
      </c>
      <c r="B18" s="170">
        <v>0</v>
      </c>
      <c r="C18" s="126" t="s">
        <v>21</v>
      </c>
      <c r="D18" s="126"/>
      <c r="E18" s="116" t="s">
        <v>31</v>
      </c>
      <c r="F18" s="166">
        <f>(SUMPRODUCT(B8:B29,Y8:Y29))/B31</f>
        <v>20.405214723926385</v>
      </c>
      <c r="G18" s="127" t="s">
        <v>125</v>
      </c>
      <c r="I18" s="218" t="str">
        <f t="shared" si="1"/>
        <v>フルカリック2号液(1003ml)</v>
      </c>
      <c r="J18" s="170">
        <v>0</v>
      </c>
      <c r="K18" s="126" t="s">
        <v>21</v>
      </c>
      <c r="L18" s="116" t="s">
        <v>31</v>
      </c>
      <c r="M18" s="120">
        <f>IF(J31=0,0,(SUMPRODUCT(J8:J29,Y8:Y29))/J31)</f>
        <v>0</v>
      </c>
      <c r="N18" s="127" t="s">
        <v>125</v>
      </c>
      <c r="Q18" s="137" t="s">
        <v>167</v>
      </c>
      <c r="R18" s="134">
        <v>175</v>
      </c>
      <c r="S18" s="134">
        <v>50</v>
      </c>
      <c r="T18" s="134">
        <v>30</v>
      </c>
      <c r="U18" s="134">
        <v>49</v>
      </c>
      <c r="V18" s="134">
        <v>8.5</v>
      </c>
      <c r="W18" s="134">
        <v>10</v>
      </c>
      <c r="X18" s="134">
        <v>250</v>
      </c>
      <c r="Y18" s="134">
        <v>30</v>
      </c>
      <c r="Z18" s="140">
        <f>(11.9+30+8.5)/1.003</f>
        <v>50.249252243270192</v>
      </c>
    </row>
    <row r="19" spans="1:27" x14ac:dyDescent="0.15">
      <c r="A19" s="136" t="str">
        <f t="shared" si="0"/>
        <v>50%ブドウ糖</v>
      </c>
      <c r="B19" s="170">
        <v>0</v>
      </c>
      <c r="C19" s="126" t="s">
        <v>21</v>
      </c>
      <c r="D19" s="126"/>
      <c r="E19" s="139" t="s">
        <v>183</v>
      </c>
      <c r="F19" s="165">
        <f>IF(B31=0,0,(SUMPRODUCT(B8:B29,Z8:Z29))/B31)</f>
        <v>51.533742331288344</v>
      </c>
      <c r="G19" s="127" t="s">
        <v>124</v>
      </c>
      <c r="I19" s="136" t="str">
        <f t="shared" si="1"/>
        <v>50%ブドウ糖</v>
      </c>
      <c r="J19" s="170">
        <v>0</v>
      </c>
      <c r="K19" s="126" t="s">
        <v>21</v>
      </c>
      <c r="L19" s="139" t="s">
        <v>183</v>
      </c>
      <c r="M19" s="120">
        <f>IF(J31=0,0,(SUMPRODUCT(J8:J29,Z8:Z29))/J31)</f>
        <v>28</v>
      </c>
      <c r="N19" s="127" t="s">
        <v>124</v>
      </c>
      <c r="Q19" s="137" t="s">
        <v>104</v>
      </c>
      <c r="R19" s="134">
        <v>500</v>
      </c>
      <c r="S19" s="134"/>
      <c r="T19" s="134"/>
      <c r="U19" s="134"/>
      <c r="V19" s="134"/>
      <c r="W19" s="134"/>
      <c r="X19" s="134"/>
      <c r="Y19" s="134"/>
      <c r="Z19" s="135"/>
    </row>
    <row r="20" spans="1:27" x14ac:dyDescent="0.15">
      <c r="A20" s="136" t="str">
        <f t="shared" si="0"/>
        <v>10%NaCl</v>
      </c>
      <c r="B20" s="170">
        <v>50</v>
      </c>
      <c r="C20" s="126" t="s">
        <v>21</v>
      </c>
      <c r="D20" s="126"/>
      <c r="G20" s="142"/>
      <c r="I20" s="136" t="str">
        <f t="shared" si="1"/>
        <v>10%NaCl</v>
      </c>
      <c r="J20" s="170">
        <v>0</v>
      </c>
      <c r="K20" s="126" t="s">
        <v>21</v>
      </c>
      <c r="N20" s="142"/>
      <c r="Q20" s="137" t="s">
        <v>88</v>
      </c>
      <c r="R20" s="134"/>
      <c r="S20" s="134">
        <v>1700</v>
      </c>
      <c r="T20" s="134"/>
      <c r="U20" s="134">
        <v>1700</v>
      </c>
      <c r="V20" s="134"/>
      <c r="W20" s="134"/>
      <c r="X20" s="134"/>
      <c r="Y20" s="134"/>
      <c r="Z20" s="135"/>
    </row>
    <row r="21" spans="1:27" x14ac:dyDescent="0.15">
      <c r="A21" s="136" t="str">
        <f t="shared" si="0"/>
        <v>KCl注20mEqキット</v>
      </c>
      <c r="B21" s="170">
        <v>0</v>
      </c>
      <c r="C21" s="138" t="s">
        <v>21</v>
      </c>
      <c r="D21" s="126"/>
      <c r="G21" s="142"/>
      <c r="I21" s="136" t="str">
        <f t="shared" si="1"/>
        <v>KCl注20mEqキット</v>
      </c>
      <c r="J21" s="170">
        <v>0</v>
      </c>
      <c r="K21" s="138" t="s">
        <v>21</v>
      </c>
      <c r="N21" s="142"/>
      <c r="Q21" s="137" t="s">
        <v>146</v>
      </c>
      <c r="R21" s="134"/>
      <c r="S21" s="134"/>
      <c r="T21" s="134">
        <v>1000</v>
      </c>
      <c r="U21" s="134">
        <v>1000</v>
      </c>
      <c r="V21" s="134"/>
      <c r="W21" s="134"/>
      <c r="X21" s="134"/>
      <c r="Y21" s="134"/>
      <c r="Z21" s="135"/>
    </row>
    <row r="22" spans="1:27" x14ac:dyDescent="0.15">
      <c r="A22" s="136" t="str">
        <f t="shared" si="0"/>
        <v>プレアミン</v>
      </c>
      <c r="B22" s="170">
        <v>0</v>
      </c>
      <c r="C22" s="126" t="s">
        <v>21</v>
      </c>
      <c r="D22" s="126"/>
      <c r="E22" s="116"/>
      <c r="F22" s="117"/>
      <c r="G22" s="127"/>
      <c r="I22" s="136" t="str">
        <f t="shared" si="1"/>
        <v>プレアミン</v>
      </c>
      <c r="J22" s="170">
        <v>0</v>
      </c>
      <c r="K22" s="126" t="s">
        <v>21</v>
      </c>
      <c r="L22" s="116"/>
      <c r="M22" s="117"/>
      <c r="N22" s="127"/>
      <c r="Q22" s="137" t="s">
        <v>105</v>
      </c>
      <c r="R22" s="134"/>
      <c r="S22" s="134">
        <v>3</v>
      </c>
      <c r="T22" s="134"/>
      <c r="U22" s="134"/>
      <c r="V22" s="134"/>
      <c r="W22" s="134"/>
      <c r="X22" s="134"/>
      <c r="Y22" s="134">
        <v>76</v>
      </c>
      <c r="Z22" s="135"/>
    </row>
    <row r="23" spans="1:27" x14ac:dyDescent="0.15">
      <c r="A23" s="136" t="str">
        <f t="shared" si="0"/>
        <v>マルタミン</v>
      </c>
      <c r="B23" s="170">
        <v>5</v>
      </c>
      <c r="C23" s="126" t="s">
        <v>21</v>
      </c>
      <c r="D23" s="126" t="s">
        <v>205</v>
      </c>
      <c r="E23" s="126"/>
      <c r="F23" s="126"/>
      <c r="G23" s="142"/>
      <c r="I23" s="136" t="str">
        <f t="shared" si="1"/>
        <v>マルタミン</v>
      </c>
      <c r="J23" s="170">
        <v>0</v>
      </c>
      <c r="K23" s="126" t="s">
        <v>21</v>
      </c>
      <c r="L23" s="126"/>
      <c r="M23" s="126"/>
      <c r="N23" s="142"/>
      <c r="Q23" s="137" t="s">
        <v>7</v>
      </c>
      <c r="R23" s="134"/>
      <c r="S23" s="134"/>
      <c r="T23" s="134"/>
      <c r="U23" s="134"/>
      <c r="V23" s="134"/>
      <c r="W23" s="134"/>
      <c r="X23" s="134"/>
      <c r="Y23" s="134"/>
      <c r="Z23" s="135"/>
    </row>
    <row r="24" spans="1:27" x14ac:dyDescent="0.15">
      <c r="A24" s="136" t="str">
        <f t="shared" si="0"/>
        <v>ビタメジン</v>
      </c>
      <c r="B24" s="170">
        <v>20</v>
      </c>
      <c r="C24" s="126" t="s">
        <v>21</v>
      </c>
      <c r="D24" s="126" t="s">
        <v>206</v>
      </c>
      <c r="E24" s="126"/>
      <c r="F24" s="126"/>
      <c r="G24" s="142"/>
      <c r="I24" s="136" t="str">
        <f t="shared" si="1"/>
        <v>ビタメジン</v>
      </c>
      <c r="J24" s="170">
        <v>0</v>
      </c>
      <c r="K24" s="126" t="s">
        <v>21</v>
      </c>
      <c r="L24" s="126"/>
      <c r="M24" s="126"/>
      <c r="N24" s="142"/>
      <c r="Q24" s="137" t="s">
        <v>202</v>
      </c>
      <c r="R24" s="134"/>
      <c r="S24" s="134"/>
      <c r="T24" s="134"/>
      <c r="U24" s="134"/>
      <c r="V24" s="134"/>
      <c r="W24" s="134"/>
      <c r="X24" s="134"/>
      <c r="Y24" s="134"/>
      <c r="Z24" s="135"/>
    </row>
    <row r="25" spans="1:27" x14ac:dyDescent="0.15">
      <c r="A25" s="136" t="str">
        <f t="shared" si="0"/>
        <v>カルチコール</v>
      </c>
      <c r="B25" s="170">
        <v>0</v>
      </c>
      <c r="C25" s="126" t="s">
        <v>21</v>
      </c>
      <c r="D25" s="126"/>
      <c r="E25" s="126"/>
      <c r="F25" s="126"/>
      <c r="G25" s="142"/>
      <c r="I25" s="136" t="str">
        <f t="shared" si="1"/>
        <v>カルチコール</v>
      </c>
      <c r="J25" s="170">
        <v>0</v>
      </c>
      <c r="K25" s="126" t="s">
        <v>21</v>
      </c>
      <c r="L25" s="126"/>
      <c r="M25" s="126"/>
      <c r="N25" s="142"/>
      <c r="Q25" s="137" t="s">
        <v>4</v>
      </c>
      <c r="R25" s="134"/>
      <c r="S25" s="134"/>
      <c r="T25" s="134"/>
      <c r="U25" s="134"/>
      <c r="V25" s="134">
        <v>390</v>
      </c>
      <c r="W25" s="134"/>
      <c r="X25" s="134"/>
      <c r="Y25" s="134"/>
      <c r="Z25" s="135"/>
    </row>
    <row r="26" spans="1:27" x14ac:dyDescent="0.15">
      <c r="A26" s="136" t="str">
        <f t="shared" si="0"/>
        <v>リン酸Na補正液</v>
      </c>
      <c r="B26" s="170">
        <v>0</v>
      </c>
      <c r="C26" s="126" t="s">
        <v>21</v>
      </c>
      <c r="D26" s="126"/>
      <c r="E26" s="126"/>
      <c r="F26" s="126"/>
      <c r="G26" s="142"/>
      <c r="I26" s="136" t="str">
        <f t="shared" si="1"/>
        <v>リン酸Na補正液</v>
      </c>
      <c r="J26" s="170">
        <v>0</v>
      </c>
      <c r="K26" s="126" t="s">
        <v>21</v>
      </c>
      <c r="L26" s="126"/>
      <c r="M26" s="126"/>
      <c r="N26" s="142"/>
      <c r="Q26" s="137" t="s">
        <v>102</v>
      </c>
      <c r="R26" s="134"/>
      <c r="S26" s="134">
        <v>750</v>
      </c>
      <c r="T26" s="134"/>
      <c r="U26" s="134"/>
      <c r="V26" s="134"/>
      <c r="W26" s="134"/>
      <c r="X26" s="134">
        <v>15500</v>
      </c>
      <c r="Y26" s="134"/>
      <c r="Z26" s="135"/>
    </row>
    <row r="27" spans="1:27" x14ac:dyDescent="0.15">
      <c r="A27" s="136" t="str">
        <f t="shared" si="0"/>
        <v>硫酸Mg補正液</v>
      </c>
      <c r="B27" s="170">
        <v>0</v>
      </c>
      <c r="C27" s="126" t="s">
        <v>21</v>
      </c>
      <c r="D27" s="126"/>
      <c r="E27" s="126"/>
      <c r="F27" s="126"/>
      <c r="G27" s="142"/>
      <c r="I27" s="136" t="str">
        <f t="shared" si="1"/>
        <v>硫酸Mg補正液</v>
      </c>
      <c r="J27" s="170">
        <v>0</v>
      </c>
      <c r="K27" s="126" t="s">
        <v>21</v>
      </c>
      <c r="L27" s="126"/>
      <c r="M27" s="126"/>
      <c r="N27" s="142"/>
      <c r="Q27" s="137" t="s">
        <v>103</v>
      </c>
      <c r="R27" s="134"/>
      <c r="S27" s="134"/>
      <c r="T27" s="134"/>
      <c r="U27" s="134"/>
      <c r="V27" s="134"/>
      <c r="W27" s="134">
        <v>1000</v>
      </c>
      <c r="X27" s="134"/>
      <c r="Y27" s="134"/>
      <c r="Z27" s="135">
        <v>1000</v>
      </c>
    </row>
    <row r="28" spans="1:27" x14ac:dyDescent="0.15">
      <c r="A28" s="136" t="str">
        <f t="shared" si="0"/>
        <v>メイロン静注7%</v>
      </c>
      <c r="B28" s="170">
        <v>0</v>
      </c>
      <c r="C28" s="138" t="s">
        <v>21</v>
      </c>
      <c r="D28" s="126"/>
      <c r="E28" s="126"/>
      <c r="F28" s="126"/>
      <c r="G28" s="142"/>
      <c r="I28" s="136" t="str">
        <f t="shared" si="1"/>
        <v>メイロン静注7%</v>
      </c>
      <c r="J28" s="170">
        <v>0</v>
      </c>
      <c r="K28" s="138" t="s">
        <v>21</v>
      </c>
      <c r="L28" s="126"/>
      <c r="M28" s="126"/>
      <c r="N28" s="142"/>
      <c r="Q28" s="143" t="s">
        <v>168</v>
      </c>
      <c r="R28" s="144"/>
      <c r="S28" s="144">
        <v>833</v>
      </c>
      <c r="T28" s="144"/>
      <c r="U28" s="144"/>
      <c r="V28" s="144"/>
      <c r="W28" s="144"/>
      <c r="X28" s="144"/>
      <c r="Y28" s="144"/>
      <c r="Z28" s="145">
        <v>833</v>
      </c>
    </row>
    <row r="29" spans="1:27" x14ac:dyDescent="0.15">
      <c r="A29" s="218" t="str">
        <f t="shared" si="0"/>
        <v>ヘパリンNa 5千単位/5mL</v>
      </c>
      <c r="B29" s="170">
        <v>0</v>
      </c>
      <c r="C29" s="126" t="s">
        <v>21</v>
      </c>
      <c r="D29" s="126"/>
      <c r="E29" s="131" t="s">
        <v>37</v>
      </c>
      <c r="F29" s="120">
        <f>IF(B31=0,"",B29*AA29/B31)</f>
        <v>0</v>
      </c>
      <c r="G29" s="142" t="s">
        <v>199</v>
      </c>
      <c r="I29" s="218" t="str">
        <f t="shared" si="1"/>
        <v>ヘパリンNa 5千単位/5mL</v>
      </c>
      <c r="J29" s="170">
        <v>0</v>
      </c>
      <c r="K29" s="126" t="s">
        <v>21</v>
      </c>
      <c r="L29" s="146" t="s">
        <v>37</v>
      </c>
      <c r="M29" s="120">
        <f>IF(J31=0,"",J29*AA29/J31)</f>
        <v>0</v>
      </c>
      <c r="N29" s="142" t="s">
        <v>199</v>
      </c>
      <c r="Q29" s="147" t="s">
        <v>204</v>
      </c>
      <c r="R29" s="147"/>
      <c r="S29" s="147">
        <v>68</v>
      </c>
      <c r="T29" s="147"/>
      <c r="U29" s="147"/>
      <c r="V29" s="147"/>
      <c r="W29" s="147"/>
      <c r="X29" s="147"/>
      <c r="Y29" s="147"/>
      <c r="Z29" s="147"/>
      <c r="AA29" s="114">
        <v>1000</v>
      </c>
    </row>
    <row r="30" spans="1:27" x14ac:dyDescent="0.15">
      <c r="A30" s="136" t="s">
        <v>9</v>
      </c>
      <c r="B30" s="170">
        <v>0</v>
      </c>
      <c r="C30" s="126" t="s">
        <v>21</v>
      </c>
      <c r="D30" s="126"/>
      <c r="E30" s="126"/>
      <c r="F30" s="126"/>
      <c r="G30" s="142"/>
      <c r="I30" s="136" t="s">
        <v>9</v>
      </c>
      <c r="J30" s="170">
        <v>0</v>
      </c>
      <c r="K30" s="126" t="s">
        <v>21</v>
      </c>
      <c r="L30" s="126"/>
      <c r="M30" s="126"/>
      <c r="N30" s="142"/>
    </row>
    <row r="31" spans="1:27" x14ac:dyDescent="0.15">
      <c r="A31" s="148" t="s">
        <v>12</v>
      </c>
      <c r="B31" s="120">
        <f>SUM(B8:B30)</f>
        <v>978</v>
      </c>
      <c r="C31" s="126" t="s">
        <v>21</v>
      </c>
      <c r="D31" s="126"/>
      <c r="E31" s="149" t="s">
        <v>161</v>
      </c>
      <c r="F31" s="120">
        <f>B31/B32</f>
        <v>19.559999999999999</v>
      </c>
      <c r="G31" s="142" t="s">
        <v>162</v>
      </c>
      <c r="I31" s="148" t="s">
        <v>12</v>
      </c>
      <c r="J31" s="120">
        <f>SUM(J8:J30)</f>
        <v>500</v>
      </c>
      <c r="K31" s="126" t="s">
        <v>21</v>
      </c>
      <c r="L31" s="149" t="s">
        <v>161</v>
      </c>
      <c r="M31" s="120">
        <f>IF(J31=0,0,(J31/J32))</f>
        <v>10</v>
      </c>
      <c r="N31" s="142" t="s">
        <v>162</v>
      </c>
      <c r="Q31" s="114" t="s">
        <v>156</v>
      </c>
    </row>
    <row r="32" spans="1:27" ht="14.25" thickBot="1" x14ac:dyDescent="0.2">
      <c r="A32" s="150" t="s">
        <v>114</v>
      </c>
      <c r="B32" s="171">
        <v>50</v>
      </c>
      <c r="C32" s="151" t="s">
        <v>23</v>
      </c>
      <c r="D32" s="151"/>
      <c r="E32" s="152" t="s">
        <v>20</v>
      </c>
      <c r="F32" s="172">
        <f>F31</f>
        <v>19.559999999999999</v>
      </c>
      <c r="G32" s="153" t="s">
        <v>162</v>
      </c>
      <c r="I32" s="150" t="s">
        <v>114</v>
      </c>
      <c r="J32" s="171">
        <v>50</v>
      </c>
      <c r="K32" s="151" t="s">
        <v>23</v>
      </c>
      <c r="L32" s="152" t="s">
        <v>20</v>
      </c>
      <c r="M32" s="172">
        <f>24-F31</f>
        <v>4.4400000000000013</v>
      </c>
      <c r="N32" s="153" t="s">
        <v>162</v>
      </c>
      <c r="Q32" s="114" t="s">
        <v>157</v>
      </c>
    </row>
    <row r="33" spans="1:14" ht="14.25" thickBot="1" x14ac:dyDescent="0.2"/>
    <row r="34" spans="1:14" x14ac:dyDescent="0.15">
      <c r="A34" s="154" t="s">
        <v>17</v>
      </c>
      <c r="B34" s="155"/>
      <c r="C34" s="155"/>
      <c r="D34" s="155"/>
      <c r="E34" s="155"/>
      <c r="F34" s="155"/>
      <c r="G34" s="156"/>
      <c r="H34" s="118"/>
      <c r="I34" s="174" t="s">
        <v>112</v>
      </c>
      <c r="J34" s="175" t="s">
        <v>48</v>
      </c>
      <c r="K34" s="176" t="s">
        <v>49</v>
      </c>
    </row>
    <row r="35" spans="1:14" x14ac:dyDescent="0.15">
      <c r="A35" s="157" t="s">
        <v>126</v>
      </c>
      <c r="B35" s="120">
        <f>B36*B37</f>
        <v>0</v>
      </c>
      <c r="C35" s="117" t="s">
        <v>21</v>
      </c>
      <c r="D35" s="126"/>
      <c r="E35" s="117" t="s">
        <v>137</v>
      </c>
      <c r="F35" s="117"/>
      <c r="G35" s="127"/>
      <c r="I35" s="177" t="s">
        <v>45</v>
      </c>
      <c r="J35" s="178">
        <f>B45</f>
        <v>1.5838333333333336</v>
      </c>
      <c r="K35" s="179">
        <f>IF(B42=0,0,J35*4/B42)</f>
        <v>0.13202514235359267</v>
      </c>
    </row>
    <row r="36" spans="1:14" x14ac:dyDescent="0.15">
      <c r="A36" s="157" t="s">
        <v>19</v>
      </c>
      <c r="B36" s="170">
        <v>0</v>
      </c>
      <c r="C36" s="117" t="s">
        <v>24</v>
      </c>
      <c r="D36" s="126"/>
      <c r="E36" s="117" t="s">
        <v>140</v>
      </c>
      <c r="F36" s="117"/>
      <c r="G36" s="127"/>
      <c r="I36" s="177" t="s">
        <v>46</v>
      </c>
      <c r="J36" s="178">
        <f>B46</f>
        <v>0</v>
      </c>
      <c r="K36" s="179">
        <f>IF(B42=0,0,J36*9/B42)</f>
        <v>0</v>
      </c>
    </row>
    <row r="37" spans="1:14" ht="14.25" thickBot="1" x14ac:dyDescent="0.2">
      <c r="A37" s="158" t="s">
        <v>20</v>
      </c>
      <c r="B37" s="173">
        <v>0</v>
      </c>
      <c r="C37" s="159" t="s">
        <v>25</v>
      </c>
      <c r="D37" s="159"/>
      <c r="E37" s="159" t="s">
        <v>141</v>
      </c>
      <c r="F37" s="159"/>
      <c r="G37" s="160"/>
      <c r="I37" s="180" t="s">
        <v>47</v>
      </c>
      <c r="J37" s="181">
        <f>F9*60*F32/1000+M9*60*M32/1000</f>
        <v>10.412619047619048</v>
      </c>
      <c r="K37" s="182">
        <f>IF(B42=0,0,J37*4/B42)</f>
        <v>0.86797485764640736</v>
      </c>
    </row>
    <row r="38" spans="1:14" ht="14.25" thickBot="1" x14ac:dyDescent="0.2"/>
    <row r="39" spans="1:14" ht="14.25" thickBot="1" x14ac:dyDescent="0.2">
      <c r="A39" s="161" t="s">
        <v>189</v>
      </c>
      <c r="B39" s="162"/>
      <c r="C39" s="162"/>
      <c r="D39" s="163"/>
    </row>
    <row r="40" spans="1:14" x14ac:dyDescent="0.15">
      <c r="A40" s="183" t="s">
        <v>117</v>
      </c>
      <c r="B40" s="210">
        <f>B32*F32+J32*M32+B35</f>
        <v>1200</v>
      </c>
      <c r="C40" s="184" t="s">
        <v>118</v>
      </c>
      <c r="D40" s="185"/>
      <c r="E40" s="186" t="s">
        <v>14</v>
      </c>
      <c r="F40" s="213">
        <f>F10/1000*B32*F32/B5+M10/1000*J32*M32/B5</f>
        <v>13.006841269841273</v>
      </c>
      <c r="G40" s="187" t="s">
        <v>59</v>
      </c>
      <c r="H40" s="188"/>
      <c r="I40" s="189" t="s">
        <v>123</v>
      </c>
      <c r="J40" s="214">
        <f>F15/1000*B32*F32/B5+M15/1000*J32*M32/B5</f>
        <v>0.72652380952380968</v>
      </c>
      <c r="K40" s="190" t="s">
        <v>59</v>
      </c>
      <c r="L40" s="186" t="s">
        <v>7</v>
      </c>
      <c r="M40" s="215">
        <f>IF(J31=0,0,B23/B31*B32*F32/B5+J23/J31*J32*M32/B5)</f>
        <v>0.39682539682539686</v>
      </c>
      <c r="N40" s="191" t="s">
        <v>55</v>
      </c>
    </row>
    <row r="41" spans="1:14" x14ac:dyDescent="0.15">
      <c r="A41" s="192"/>
      <c r="B41" s="167">
        <f>IF(B4=0,"-",B40/(B4*B5/3600)^0.5)</f>
        <v>2018.3037958057932</v>
      </c>
      <c r="C41" s="138" t="s">
        <v>190</v>
      </c>
      <c r="D41" s="193"/>
      <c r="E41" s="139" t="s">
        <v>163</v>
      </c>
      <c r="F41" s="120">
        <f>(F10*B32+M10*J32)/(B32+J32)</f>
        <v>134.03179959100206</v>
      </c>
      <c r="G41" s="164" t="s">
        <v>124</v>
      </c>
      <c r="H41" s="193"/>
      <c r="I41" s="194" t="s">
        <v>4</v>
      </c>
      <c r="J41" s="120">
        <f>IF(J31=0,0,B25/B31*B32*F32/B5+J25/J31*J32*M32/B5)</f>
        <v>0</v>
      </c>
      <c r="K41" s="195" t="s">
        <v>55</v>
      </c>
      <c r="L41" s="139" t="s">
        <v>8</v>
      </c>
      <c r="M41" s="216">
        <f>IF(J31=0,0,B24/B31*B32*F32/B5+J24/J31*J32*M32/B5)</f>
        <v>1.5873015873015874</v>
      </c>
      <c r="N41" s="196" t="s">
        <v>55</v>
      </c>
    </row>
    <row r="42" spans="1:14" x14ac:dyDescent="0.15">
      <c r="A42" s="197" t="s">
        <v>28</v>
      </c>
      <c r="B42" s="210">
        <f>F9/1000*60*F32*4+M9/1000*60*M32*4+B45*4+B46*9</f>
        <v>47.985809523809522</v>
      </c>
      <c r="C42" s="164" t="s">
        <v>56</v>
      </c>
      <c r="D42" s="193"/>
      <c r="E42" s="139" t="s">
        <v>176</v>
      </c>
      <c r="F42" s="120">
        <f>F40*B5</f>
        <v>163.88620000000003</v>
      </c>
      <c r="G42" s="164" t="s">
        <v>177</v>
      </c>
      <c r="H42" s="193"/>
      <c r="I42" s="194" t="s">
        <v>32</v>
      </c>
      <c r="J42" s="132">
        <f>F17/1000*B32*F32/B5+M17/1000*J32*M32</f>
        <v>19.851666666666667</v>
      </c>
      <c r="K42" s="195" t="s">
        <v>136</v>
      </c>
      <c r="L42" s="146"/>
      <c r="M42" s="138"/>
      <c r="N42" s="198"/>
    </row>
    <row r="43" spans="1:14" x14ac:dyDescent="0.15">
      <c r="A43" s="199" t="s">
        <v>164</v>
      </c>
      <c r="B43" s="168">
        <f>B42*B5</f>
        <v>604.62119999999993</v>
      </c>
      <c r="C43" s="138" t="s">
        <v>165</v>
      </c>
      <c r="D43" s="193"/>
      <c r="E43" s="139" t="s">
        <v>176</v>
      </c>
      <c r="F43" s="120">
        <f>F40*B5/17</f>
        <v>9.6403647058823552</v>
      </c>
      <c r="G43" s="164" t="s">
        <v>182</v>
      </c>
      <c r="H43" s="193"/>
      <c r="I43" s="194" t="s">
        <v>132</v>
      </c>
      <c r="J43" s="120">
        <f>IF(J31=0,0,B26/B31*B32*F32/B5+J26/J31*J32*M32/B5)</f>
        <v>0</v>
      </c>
      <c r="K43" s="195" t="s">
        <v>55</v>
      </c>
      <c r="L43" s="146" t="s">
        <v>183</v>
      </c>
      <c r="M43" s="141">
        <f>(F19*B32*F32/1000+M19*J32*M32/1000)/B5</f>
        <v>4.4933333333333332</v>
      </c>
      <c r="N43" s="198" t="s">
        <v>59</v>
      </c>
    </row>
    <row r="44" spans="1:14" x14ac:dyDescent="0.15">
      <c r="A44" s="197" t="s">
        <v>30</v>
      </c>
      <c r="B44" s="211">
        <f>F9+M9</f>
        <v>11.428612003765378</v>
      </c>
      <c r="C44" s="164" t="s">
        <v>57</v>
      </c>
      <c r="D44" s="193"/>
      <c r="E44" s="139" t="s">
        <v>15</v>
      </c>
      <c r="F44" s="120">
        <f>F12/1000*B32*F32/B5+M12/1000*J32*M32/B5</f>
        <v>2.4498095238095239</v>
      </c>
      <c r="G44" s="164" t="s">
        <v>59</v>
      </c>
      <c r="H44" s="193"/>
      <c r="I44" s="194" t="s">
        <v>33</v>
      </c>
      <c r="J44" s="132">
        <f>F16/1000*B32*F32/B5+M16/1000*J32*M32</f>
        <v>0.79549999999999976</v>
      </c>
      <c r="K44" s="195" t="s">
        <v>59</v>
      </c>
      <c r="L44" s="146" t="s">
        <v>185</v>
      </c>
      <c r="M44" s="120">
        <f>(F19*B32+M19*J32)/(B32+J32)</f>
        <v>39.766871165644169</v>
      </c>
      <c r="N44" s="198" t="s">
        <v>124</v>
      </c>
    </row>
    <row r="45" spans="1:14" x14ac:dyDescent="0.15">
      <c r="A45" s="197" t="s">
        <v>31</v>
      </c>
      <c r="B45" s="120">
        <f>F18/1000*B32*F32/B5+M18/1000*J32*M32/B5</f>
        <v>1.5838333333333336</v>
      </c>
      <c r="C45" s="164" t="s">
        <v>48</v>
      </c>
      <c r="D45" s="193"/>
      <c r="E45" s="139" t="s">
        <v>163</v>
      </c>
      <c r="F45" s="120">
        <f>(F12*B32+M12*J32)/(B32+J32)</f>
        <v>17.326993865030676</v>
      </c>
      <c r="G45" s="138" t="s">
        <v>124</v>
      </c>
      <c r="H45" s="193"/>
      <c r="I45" s="194" t="s">
        <v>103</v>
      </c>
      <c r="J45" s="141">
        <f>IF(J31=0,0,B27/B31*B32*F32/B5+J27/J31*J32*M32/B5)</f>
        <v>0</v>
      </c>
      <c r="K45" s="195" t="s">
        <v>55</v>
      </c>
      <c r="L45" s="146" t="s">
        <v>186</v>
      </c>
      <c r="M45" s="217">
        <f>F19*B32*F32/1000+M19*J32*M32/1000</f>
        <v>56.615999999999993</v>
      </c>
      <c r="N45" s="198" t="s">
        <v>177</v>
      </c>
    </row>
    <row r="46" spans="1:14" ht="14.25" thickBot="1" x14ac:dyDescent="0.2">
      <c r="A46" s="200" t="s">
        <v>34</v>
      </c>
      <c r="B46" s="212">
        <f>B35/5/B5</f>
        <v>0</v>
      </c>
      <c r="C46" s="201" t="s">
        <v>48</v>
      </c>
      <c r="D46" s="202"/>
      <c r="E46" s="203" t="s">
        <v>179</v>
      </c>
      <c r="F46" s="212">
        <f>F44*B5</f>
        <v>30.867599999999999</v>
      </c>
      <c r="G46" s="204" t="s">
        <v>177</v>
      </c>
      <c r="H46" s="202"/>
      <c r="I46" s="205"/>
      <c r="J46" s="206"/>
      <c r="K46" s="207"/>
      <c r="L46" s="203"/>
      <c r="M46" s="208"/>
      <c r="N46" s="209"/>
    </row>
    <row r="58" spans="1:8" x14ac:dyDescent="0.15">
      <c r="H58" s="118"/>
    </row>
    <row r="59" spans="1:8" x14ac:dyDescent="0.15">
      <c r="H59" s="118"/>
    </row>
    <row r="60" spans="1:8" x14ac:dyDescent="0.15">
      <c r="H60" s="118"/>
    </row>
    <row r="61" spans="1:8" x14ac:dyDescent="0.15">
      <c r="H61" s="118"/>
    </row>
    <row r="64" spans="1:8" x14ac:dyDescent="0.15">
      <c r="A64" s="164"/>
    </row>
  </sheetData>
  <sheetProtection sheet="1" objects="1" scenarios="1"/>
  <phoneticPr fontId="1"/>
  <conditionalFormatting sqref="A12">
    <cfRule type="expression" dxfId="61" priority="52">
      <formula>$B$12&gt;0</formula>
    </cfRule>
  </conditionalFormatting>
  <conditionalFormatting sqref="A13">
    <cfRule type="expression" dxfId="60" priority="51">
      <formula>$B$13&gt;0</formula>
    </cfRule>
  </conditionalFormatting>
  <conditionalFormatting sqref="A14">
    <cfRule type="expression" dxfId="59" priority="50">
      <formula>$B$14&gt;0</formula>
    </cfRule>
  </conditionalFormatting>
  <conditionalFormatting sqref="A15">
    <cfRule type="expression" dxfId="58" priority="49">
      <formula>$B$15&gt;0</formula>
    </cfRule>
  </conditionalFormatting>
  <conditionalFormatting sqref="A16">
    <cfRule type="expression" dxfId="57" priority="48">
      <formula>$B$16&gt;0</formula>
    </cfRule>
  </conditionalFormatting>
  <conditionalFormatting sqref="A17">
    <cfRule type="expression" dxfId="56" priority="47">
      <formula>$B$17&gt;0</formula>
    </cfRule>
  </conditionalFormatting>
  <conditionalFormatting sqref="A18">
    <cfRule type="expression" dxfId="55" priority="46">
      <formula>$B$18&gt;0</formula>
    </cfRule>
  </conditionalFormatting>
  <conditionalFormatting sqref="A19">
    <cfRule type="expression" dxfId="54" priority="45">
      <formula>$B$19&gt;0</formula>
    </cfRule>
  </conditionalFormatting>
  <conditionalFormatting sqref="A20">
    <cfRule type="expression" dxfId="53" priority="44">
      <formula>$B$20&gt;0</formula>
    </cfRule>
  </conditionalFormatting>
  <conditionalFormatting sqref="A22">
    <cfRule type="expression" dxfId="52" priority="43">
      <formula>$B$22&gt;0</formula>
    </cfRule>
  </conditionalFormatting>
  <conditionalFormatting sqref="A23">
    <cfRule type="expression" dxfId="51" priority="42">
      <formula>$B$23&gt;0</formula>
    </cfRule>
  </conditionalFormatting>
  <conditionalFormatting sqref="A24">
    <cfRule type="expression" dxfId="50" priority="41">
      <formula>$B$24&gt;0</formula>
    </cfRule>
  </conditionalFormatting>
  <conditionalFormatting sqref="A25">
    <cfRule type="expression" dxfId="49" priority="40">
      <formula>$B$25&gt;0</formula>
    </cfRule>
  </conditionalFormatting>
  <conditionalFormatting sqref="A26">
    <cfRule type="expression" dxfId="48" priority="39">
      <formula>$B$26&gt;0</formula>
    </cfRule>
  </conditionalFormatting>
  <conditionalFormatting sqref="A27:A28">
    <cfRule type="expression" dxfId="47" priority="38">
      <formula>$B$27&gt;0</formula>
    </cfRule>
  </conditionalFormatting>
  <conditionalFormatting sqref="A29">
    <cfRule type="expression" dxfId="46" priority="37">
      <formula>$B$29&gt;0</formula>
    </cfRule>
  </conditionalFormatting>
  <conditionalFormatting sqref="A30">
    <cfRule type="expression" dxfId="45" priority="36">
      <formula>$B$30&gt;0</formula>
    </cfRule>
  </conditionalFormatting>
  <conditionalFormatting sqref="I12">
    <cfRule type="expression" dxfId="44" priority="35">
      <formula>$J$12&gt;0</formula>
    </cfRule>
  </conditionalFormatting>
  <conditionalFormatting sqref="I13">
    <cfRule type="expression" dxfId="43" priority="34">
      <formula>$J$13&gt;0</formula>
    </cfRule>
  </conditionalFormatting>
  <conditionalFormatting sqref="I14">
    <cfRule type="expression" dxfId="42" priority="33">
      <formula>$J$14&gt;0</formula>
    </cfRule>
  </conditionalFormatting>
  <conditionalFormatting sqref="I15">
    <cfRule type="expression" dxfId="41" priority="32">
      <formula>$J$15&gt;0</formula>
    </cfRule>
  </conditionalFormatting>
  <conditionalFormatting sqref="I16">
    <cfRule type="expression" dxfId="40" priority="31">
      <formula>$J$16&gt;0</formula>
    </cfRule>
  </conditionalFormatting>
  <conditionalFormatting sqref="I17">
    <cfRule type="expression" dxfId="39" priority="30">
      <formula>$J$17&gt;0</formula>
    </cfRule>
  </conditionalFormatting>
  <conditionalFormatting sqref="I18">
    <cfRule type="expression" dxfId="38" priority="29">
      <formula>$J$18&gt;0</formula>
    </cfRule>
  </conditionalFormatting>
  <conditionalFormatting sqref="I19">
    <cfRule type="expression" dxfId="37" priority="28">
      <formula>$J$19&gt;0</formula>
    </cfRule>
  </conditionalFormatting>
  <conditionalFormatting sqref="I20">
    <cfRule type="expression" dxfId="36" priority="27">
      <formula>$J$20&gt;0</formula>
    </cfRule>
  </conditionalFormatting>
  <conditionalFormatting sqref="I22">
    <cfRule type="expression" dxfId="35" priority="26">
      <formula>$J$22&gt;0</formula>
    </cfRule>
  </conditionalFormatting>
  <conditionalFormatting sqref="I23">
    <cfRule type="expression" dxfId="34" priority="25">
      <formula>$J$23&gt;0</formula>
    </cfRule>
  </conditionalFormatting>
  <conditionalFormatting sqref="I24">
    <cfRule type="expression" dxfId="33" priority="24">
      <formula>$J$24&gt;0</formula>
    </cfRule>
  </conditionalFormatting>
  <conditionalFormatting sqref="I25">
    <cfRule type="expression" dxfId="32" priority="23">
      <formula>$J$25&gt;0</formula>
    </cfRule>
  </conditionalFormatting>
  <conditionalFormatting sqref="I26">
    <cfRule type="expression" dxfId="31" priority="22">
      <formula>$J$26&gt;0</formula>
    </cfRule>
  </conditionalFormatting>
  <conditionalFormatting sqref="I27:I28">
    <cfRule type="expression" dxfId="30" priority="21">
      <formula>$J$27&gt;0</formula>
    </cfRule>
  </conditionalFormatting>
  <conditionalFormatting sqref="I29">
    <cfRule type="expression" dxfId="29" priority="20">
      <formula>$J$29&gt;0</formula>
    </cfRule>
  </conditionalFormatting>
  <conditionalFormatting sqref="I30">
    <cfRule type="expression" dxfId="28" priority="19">
      <formula>$J$30&gt;0</formula>
    </cfRule>
  </conditionalFormatting>
  <conditionalFormatting sqref="A35">
    <cfRule type="expression" dxfId="27" priority="18">
      <formula>$B$35&gt;0</formula>
    </cfRule>
  </conditionalFormatting>
  <conditionalFormatting sqref="A8">
    <cfRule type="expression" dxfId="26" priority="17">
      <formula>$B$8&gt;0</formula>
    </cfRule>
  </conditionalFormatting>
  <conditionalFormatting sqref="A9">
    <cfRule type="expression" dxfId="25" priority="16">
      <formula>$B$9&gt;0</formula>
    </cfRule>
  </conditionalFormatting>
  <conditionalFormatting sqref="I8">
    <cfRule type="expression" dxfId="24" priority="15">
      <formula>$J$8&gt;0</formula>
    </cfRule>
  </conditionalFormatting>
  <conditionalFormatting sqref="I9">
    <cfRule type="expression" dxfId="23" priority="14">
      <formula>$J$9&gt;0</formula>
    </cfRule>
  </conditionalFormatting>
  <conditionalFormatting sqref="A28">
    <cfRule type="expression" dxfId="22" priority="13">
      <formula>$B$28&gt;0</formula>
    </cfRule>
  </conditionalFormatting>
  <conditionalFormatting sqref="I28">
    <cfRule type="expression" dxfId="21" priority="12">
      <formula>$J$28&gt;0</formula>
    </cfRule>
  </conditionalFormatting>
  <conditionalFormatting sqref="A11">
    <cfRule type="expression" dxfId="20" priority="11">
      <formula>$B$11&gt;0</formula>
    </cfRule>
  </conditionalFormatting>
  <conditionalFormatting sqref="I11">
    <cfRule type="expression" dxfId="19" priority="10">
      <formula>$J$11&gt;0</formula>
    </cfRule>
  </conditionalFormatting>
  <conditionalFormatting sqref="F12">
    <cfRule type="expression" dxfId="18" priority="9">
      <formula>$F$12&gt;40</formula>
    </cfRule>
  </conditionalFormatting>
  <conditionalFormatting sqref="M12">
    <cfRule type="expression" dxfId="17" priority="8">
      <formula>$M$12&gt;40</formula>
    </cfRule>
  </conditionalFormatting>
  <conditionalFormatting sqref="F46">
    <cfRule type="expression" dxfId="16" priority="7">
      <formula>$F$46&gt;100</formula>
    </cfRule>
  </conditionalFormatting>
  <conditionalFormatting sqref="F13">
    <cfRule type="expression" dxfId="15" priority="6">
      <formula>$F$13&gt;100</formula>
    </cfRule>
  </conditionalFormatting>
  <conditionalFormatting sqref="M13">
    <cfRule type="expression" dxfId="14" priority="5">
      <formula>$M$13&gt;100</formula>
    </cfRule>
  </conditionalFormatting>
  <conditionalFormatting sqref="I10">
    <cfRule type="expression" dxfId="13" priority="4">
      <formula>$J$10&gt;0</formula>
    </cfRule>
  </conditionalFormatting>
  <conditionalFormatting sqref="A10">
    <cfRule type="expression" dxfId="12" priority="3">
      <formula>$B$10&gt;0</formula>
    </cfRule>
  </conditionalFormatting>
  <conditionalFormatting sqref="A21">
    <cfRule type="expression" dxfId="11" priority="53">
      <formula>($F$44*$B$5)&gt;100</formula>
    </cfRule>
    <cfRule type="expression" dxfId="10" priority="54">
      <formula>$F$13&gt;100</formula>
    </cfRule>
    <cfRule type="expression" dxfId="9" priority="55">
      <formula>$F$12&gt;40</formula>
    </cfRule>
    <cfRule type="expression" dxfId="8" priority="56">
      <formula>$F$45&gt;40</formula>
    </cfRule>
    <cfRule type="expression" dxfId="7" priority="57">
      <formula>$B$21&gt;0</formula>
    </cfRule>
  </conditionalFormatting>
  <conditionalFormatting sqref="I21">
    <cfRule type="expression" dxfId="6" priority="58">
      <formula>($F$44*$B$5)&gt;100</formula>
    </cfRule>
    <cfRule type="expression" dxfId="5" priority="59">
      <formula>$M$13&gt;100</formula>
    </cfRule>
    <cfRule type="expression" dxfId="4" priority="60">
      <formula>$F$45&gt;40</formula>
    </cfRule>
    <cfRule type="expression" dxfId="3" priority="61">
      <formula>$M$12&gt;40</formula>
    </cfRule>
    <cfRule type="expression" dxfId="2" priority="62">
      <formula>$J$21&gt;0</formula>
    </cfRule>
  </conditionalFormatting>
  <conditionalFormatting sqref="F29">
    <cfRule type="expression" dxfId="1" priority="2">
      <formula>$F$29&gt;1.1</formula>
    </cfRule>
  </conditionalFormatting>
  <conditionalFormatting sqref="M29">
    <cfRule type="expression" dxfId="0" priority="1">
      <formula>$M$29&gt;1.1</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421A8-1D49-4AFF-90C5-D2FABE339A96}">
  <dimension ref="A1:AA64"/>
  <sheetViews>
    <sheetView zoomScale="85" zoomScaleNormal="85" workbookViewId="0">
      <selection activeCell="Q25" sqref="Q25"/>
    </sheetView>
  </sheetViews>
  <sheetFormatPr defaultRowHeight="13.5" x14ac:dyDescent="0.15"/>
  <cols>
    <col min="1" max="1" width="18.875" style="114" customWidth="1"/>
    <col min="2" max="2" width="8.125" style="114" customWidth="1"/>
    <col min="3" max="3" width="5.625" style="114" customWidth="1"/>
    <col min="4" max="4" width="5" style="114" customWidth="1"/>
    <col min="5" max="5" width="17.5" style="114" customWidth="1"/>
    <col min="6" max="6" width="8.125" style="114" customWidth="1"/>
    <col min="7" max="7" width="9.625" style="114" customWidth="1"/>
    <col min="8" max="8" width="2.625" style="114" customWidth="1"/>
    <col min="9" max="9" width="18.5" style="114" customWidth="1"/>
    <col min="10" max="10" width="8.25" style="114" customWidth="1"/>
    <col min="11" max="11" width="10.75" style="114" customWidth="1"/>
    <col min="12" max="12" width="17.5" style="114" customWidth="1"/>
    <col min="13" max="13" width="8.75" style="114" customWidth="1"/>
    <col min="14" max="14" width="10.625" style="114" customWidth="1"/>
    <col min="15" max="16" width="6.75" style="114" bestFit="1" customWidth="1"/>
    <col min="17" max="17" width="20.75" style="114" customWidth="1"/>
    <col min="18" max="18" width="4.5" style="114" bestFit="1" customWidth="1"/>
    <col min="19" max="23" width="6.75" style="114" bestFit="1" customWidth="1"/>
    <col min="24" max="24" width="6.5" style="114" bestFit="1" customWidth="1"/>
    <col min="25" max="25" width="7.625" style="114" bestFit="1" customWidth="1"/>
    <col min="26" max="16384" width="9" style="114"/>
  </cols>
  <sheetData>
    <row r="1" spans="1:27" x14ac:dyDescent="0.15">
      <c r="A1" s="169"/>
      <c r="B1" s="114" t="s">
        <v>62</v>
      </c>
    </row>
    <row r="2" spans="1:27" x14ac:dyDescent="0.15">
      <c r="A2" s="115"/>
      <c r="B2" s="114" t="s">
        <v>63</v>
      </c>
    </row>
    <row r="4" spans="1:27" x14ac:dyDescent="0.15">
      <c r="A4" s="116" t="s">
        <v>191</v>
      </c>
      <c r="B4" s="170">
        <v>74</v>
      </c>
      <c r="C4" s="117" t="s">
        <v>192</v>
      </c>
      <c r="D4" s="118"/>
      <c r="E4" s="118"/>
      <c r="F4" s="118"/>
      <c r="G4" s="118"/>
      <c r="I4" s="118"/>
      <c r="J4" s="118"/>
      <c r="K4" s="118"/>
    </row>
    <row r="5" spans="1:27" x14ac:dyDescent="0.15">
      <c r="A5" s="116" t="s">
        <v>26</v>
      </c>
      <c r="B5" s="170">
        <v>8.5</v>
      </c>
      <c r="C5" s="117" t="s">
        <v>111</v>
      </c>
      <c r="D5" s="118"/>
      <c r="E5" s="119" t="s">
        <v>193</v>
      </c>
      <c r="F5" s="216">
        <f>SQRT(B4*B5/3600)</f>
        <v>0.41799787346614842</v>
      </c>
      <c r="G5" s="118" t="s">
        <v>194</v>
      </c>
      <c r="I5" s="118"/>
      <c r="J5" s="118"/>
      <c r="K5" s="118"/>
      <c r="Q5" s="114" t="s">
        <v>130</v>
      </c>
    </row>
    <row r="6" spans="1:27" ht="14.25" thickBot="1" x14ac:dyDescent="0.2">
      <c r="A6" s="118"/>
      <c r="C6" s="118"/>
      <c r="Q6" s="118"/>
      <c r="R6" s="118" t="s">
        <v>125</v>
      </c>
      <c r="S6" s="118" t="s">
        <v>124</v>
      </c>
      <c r="T6" s="118" t="s">
        <v>124</v>
      </c>
      <c r="U6" s="118" t="s">
        <v>124</v>
      </c>
      <c r="V6" s="118" t="s">
        <v>124</v>
      </c>
      <c r="W6" s="118" t="s">
        <v>124</v>
      </c>
      <c r="X6" s="118" t="s">
        <v>128</v>
      </c>
      <c r="Y6" s="118" t="s">
        <v>125</v>
      </c>
      <c r="Z6" s="118" t="s">
        <v>124</v>
      </c>
      <c r="AA6" s="118" t="s">
        <v>199</v>
      </c>
    </row>
    <row r="7" spans="1:27" x14ac:dyDescent="0.15">
      <c r="A7" s="121" t="s">
        <v>113</v>
      </c>
      <c r="B7" s="122"/>
      <c r="C7" s="122"/>
      <c r="D7" s="122"/>
      <c r="E7" s="123" t="s">
        <v>127</v>
      </c>
      <c r="F7" s="122"/>
      <c r="G7" s="124"/>
      <c r="I7" s="121" t="s">
        <v>116</v>
      </c>
      <c r="J7" s="122"/>
      <c r="K7" s="122"/>
      <c r="L7" s="123" t="s">
        <v>131</v>
      </c>
      <c r="M7" s="122"/>
      <c r="N7" s="124"/>
      <c r="R7" s="114" t="s">
        <v>121</v>
      </c>
      <c r="S7" s="114" t="s">
        <v>14</v>
      </c>
      <c r="T7" s="114" t="s">
        <v>15</v>
      </c>
      <c r="U7" s="114" t="s">
        <v>16</v>
      </c>
      <c r="V7" s="114" t="s">
        <v>123</v>
      </c>
      <c r="W7" s="114" t="s">
        <v>33</v>
      </c>
      <c r="X7" s="114" t="s">
        <v>32</v>
      </c>
      <c r="Y7" s="114" t="s">
        <v>31</v>
      </c>
      <c r="Z7" s="114" t="s">
        <v>183</v>
      </c>
      <c r="AA7" s="114" t="s">
        <v>37</v>
      </c>
    </row>
    <row r="8" spans="1:27" x14ac:dyDescent="0.15">
      <c r="A8" s="125" t="str">
        <f t="shared" ref="A8:A29" si="0">Q8</f>
        <v>生理食塩液</v>
      </c>
      <c r="B8" s="170">
        <v>0</v>
      </c>
      <c r="C8" s="126" t="s">
        <v>21</v>
      </c>
      <c r="D8" s="126"/>
      <c r="E8" s="116" t="s">
        <v>13</v>
      </c>
      <c r="F8" s="165">
        <f>(SUMPRODUCT(B8:B29,R8:R29))/1000/B31*100</f>
        <v>2.5470219435736676</v>
      </c>
      <c r="G8" s="127" t="s">
        <v>135</v>
      </c>
      <c r="I8" s="125" t="str">
        <f t="shared" ref="I8:I29" si="1">Q8</f>
        <v>生理食塩液</v>
      </c>
      <c r="J8" s="170">
        <v>0</v>
      </c>
      <c r="K8" s="126" t="s">
        <v>21</v>
      </c>
      <c r="L8" s="116" t="s">
        <v>13</v>
      </c>
      <c r="M8" s="120">
        <f>IF(J31=0,0,(SUMPRODUCT(J8:J29,R8:R29))/1000/J31*100)</f>
        <v>0</v>
      </c>
      <c r="N8" s="127" t="s">
        <v>135</v>
      </c>
      <c r="P8" s="126"/>
      <c r="Q8" s="128" t="s">
        <v>158</v>
      </c>
      <c r="R8" s="129"/>
      <c r="S8" s="129">
        <v>154</v>
      </c>
      <c r="T8" s="129"/>
      <c r="U8" s="129">
        <v>154</v>
      </c>
      <c r="V8" s="129"/>
      <c r="W8" s="129"/>
      <c r="X8" s="129"/>
      <c r="Y8" s="129"/>
      <c r="Z8" s="130"/>
    </row>
    <row r="9" spans="1:27" x14ac:dyDescent="0.15">
      <c r="A9" s="125" t="str">
        <f t="shared" si="0"/>
        <v>5%ブドウ糖液</v>
      </c>
      <c r="B9" s="170">
        <v>0</v>
      </c>
      <c r="C9" s="126" t="s">
        <v>21</v>
      </c>
      <c r="D9" s="126"/>
      <c r="E9" s="131" t="s">
        <v>30</v>
      </c>
      <c r="F9" s="165">
        <f>(SUMPRODUCT(B8:B29,R8:R29))/B31*B32/60/B5</f>
        <v>2.2473723031532362</v>
      </c>
      <c r="G9" s="127" t="s">
        <v>57</v>
      </c>
      <c r="I9" s="125" t="str">
        <f t="shared" si="1"/>
        <v>5%ブドウ糖液</v>
      </c>
      <c r="J9" s="170">
        <v>0</v>
      </c>
      <c r="K9" s="126" t="s">
        <v>21</v>
      </c>
      <c r="L9" s="131" t="s">
        <v>30</v>
      </c>
      <c r="M9" s="120">
        <f>IF(J31=0,0,(SUMPRODUCT(J8:J29,R8:R29))/J31*J32/60/B5)</f>
        <v>0</v>
      </c>
      <c r="N9" s="127" t="s">
        <v>57</v>
      </c>
      <c r="P9" s="126"/>
      <c r="Q9" s="133" t="s">
        <v>159</v>
      </c>
      <c r="R9" s="134">
        <v>50</v>
      </c>
      <c r="S9" s="134"/>
      <c r="T9" s="134"/>
      <c r="U9" s="134"/>
      <c r="V9" s="134"/>
      <c r="W9" s="134"/>
      <c r="X9" s="134"/>
      <c r="Y9" s="134"/>
      <c r="Z9" s="135"/>
    </row>
    <row r="10" spans="1:27" x14ac:dyDescent="0.15">
      <c r="A10" s="136" t="str">
        <f t="shared" si="0"/>
        <v>ヴィーンD</v>
      </c>
      <c r="B10" s="170">
        <v>0</v>
      </c>
      <c r="C10" s="126" t="s">
        <v>21</v>
      </c>
      <c r="D10" s="126"/>
      <c r="E10" s="116" t="s">
        <v>14</v>
      </c>
      <c r="F10" s="165">
        <f>(SUMPRODUCT(B8:B29,S8:S29))/B31</f>
        <v>88.219435736677113</v>
      </c>
      <c r="G10" s="127" t="s">
        <v>124</v>
      </c>
      <c r="I10" s="136" t="str">
        <f t="shared" si="1"/>
        <v>ヴィーンD</v>
      </c>
      <c r="J10" s="170">
        <v>0</v>
      </c>
      <c r="K10" s="126" t="s">
        <v>21</v>
      </c>
      <c r="L10" s="116" t="s">
        <v>14</v>
      </c>
      <c r="M10" s="120">
        <f>IF(J31=0,0,(SUMPRODUCT(J8:J29,S8:S29))/J31)</f>
        <v>128.96825396825398</v>
      </c>
      <c r="N10" s="127" t="s">
        <v>124</v>
      </c>
      <c r="Q10" s="137" t="s">
        <v>97</v>
      </c>
      <c r="R10" s="134">
        <v>50</v>
      </c>
      <c r="S10" s="134">
        <v>130</v>
      </c>
      <c r="T10" s="134">
        <v>4</v>
      </c>
      <c r="U10" s="134">
        <v>109</v>
      </c>
      <c r="V10" s="134">
        <v>3</v>
      </c>
      <c r="W10" s="134"/>
      <c r="X10" s="134"/>
      <c r="Y10" s="134"/>
      <c r="Z10" s="135">
        <v>28</v>
      </c>
    </row>
    <row r="11" spans="1:27" x14ac:dyDescent="0.15">
      <c r="A11" s="136" t="str">
        <f t="shared" si="0"/>
        <v>ヴィーンF</v>
      </c>
      <c r="B11" s="170">
        <v>0</v>
      </c>
      <c r="C11" s="138" t="s">
        <v>21</v>
      </c>
      <c r="D11" s="126"/>
      <c r="E11" s="116" t="s">
        <v>176</v>
      </c>
      <c r="F11" s="165">
        <f>F10*B32*F32/1000</f>
        <v>95.276990595611281</v>
      </c>
      <c r="G11" s="127" t="s">
        <v>177</v>
      </c>
      <c r="I11" s="136" t="str">
        <f t="shared" si="1"/>
        <v>ヴィーンF</v>
      </c>
      <c r="J11" s="170">
        <v>500</v>
      </c>
      <c r="K11" s="138" t="s">
        <v>21</v>
      </c>
      <c r="L11" s="116" t="s">
        <v>176</v>
      </c>
      <c r="M11" s="120">
        <f>M10*J32*M32/1000</f>
        <v>0</v>
      </c>
      <c r="N11" s="127" t="s">
        <v>177</v>
      </c>
      <c r="Q11" s="137" t="s">
        <v>203</v>
      </c>
      <c r="R11" s="134"/>
      <c r="S11" s="134">
        <v>130</v>
      </c>
      <c r="T11" s="134">
        <v>4</v>
      </c>
      <c r="U11" s="134">
        <v>109</v>
      </c>
      <c r="V11" s="134">
        <v>3</v>
      </c>
      <c r="W11" s="134"/>
      <c r="X11" s="134"/>
      <c r="Y11" s="134"/>
      <c r="Z11" s="135">
        <v>28</v>
      </c>
    </row>
    <row r="12" spans="1:27" x14ac:dyDescent="0.15">
      <c r="A12" s="136" t="str">
        <f t="shared" si="0"/>
        <v>ソルデム1輸液</v>
      </c>
      <c r="B12" s="170">
        <v>500</v>
      </c>
      <c r="C12" s="126" t="s">
        <v>21</v>
      </c>
      <c r="D12" s="126"/>
      <c r="E12" s="116" t="s">
        <v>15</v>
      </c>
      <c r="F12" s="165">
        <f>(SUMPRODUCT(B8:B29,T8:T29))/B31</f>
        <v>0</v>
      </c>
      <c r="G12" s="127" t="s">
        <v>124</v>
      </c>
      <c r="I12" s="136" t="str">
        <f t="shared" si="1"/>
        <v>ソルデム1輸液</v>
      </c>
      <c r="J12" s="170">
        <v>0</v>
      </c>
      <c r="K12" s="126" t="s">
        <v>21</v>
      </c>
      <c r="L12" s="116" t="s">
        <v>15</v>
      </c>
      <c r="M12" s="120">
        <f>IF(J31=0,0,(SUMPRODUCT(J8:J29,T8:T29))/J31)</f>
        <v>11.904761904761905</v>
      </c>
      <c r="N12" s="127" t="s">
        <v>124</v>
      </c>
      <c r="Q12" s="137" t="s">
        <v>152</v>
      </c>
      <c r="R12" s="134">
        <v>26</v>
      </c>
      <c r="S12" s="134">
        <v>90</v>
      </c>
      <c r="T12" s="134">
        <v>0</v>
      </c>
      <c r="U12" s="134">
        <v>70</v>
      </c>
      <c r="V12" s="134"/>
      <c r="W12" s="134"/>
      <c r="X12" s="134"/>
      <c r="Y12" s="134"/>
      <c r="Z12" s="135">
        <v>20</v>
      </c>
    </row>
    <row r="13" spans="1:27" x14ac:dyDescent="0.15">
      <c r="A13" s="136" t="str">
        <f t="shared" si="0"/>
        <v>ハルトマン</v>
      </c>
      <c r="B13" s="170">
        <v>0</v>
      </c>
      <c r="C13" s="126" t="s">
        <v>21</v>
      </c>
      <c r="D13" s="126"/>
      <c r="E13" s="116" t="s">
        <v>171</v>
      </c>
      <c r="F13" s="165">
        <f>F12*B32*F32/1000</f>
        <v>0</v>
      </c>
      <c r="G13" s="127" t="s">
        <v>177</v>
      </c>
      <c r="I13" s="136" t="str">
        <f t="shared" si="1"/>
        <v>ハルトマン</v>
      </c>
      <c r="J13" s="170">
        <v>0</v>
      </c>
      <c r="K13" s="126" t="s">
        <v>21</v>
      </c>
      <c r="L13" s="116" t="s">
        <v>171</v>
      </c>
      <c r="M13" s="120">
        <f>M12*J32*M32/1000</f>
        <v>0</v>
      </c>
      <c r="N13" s="127" t="s">
        <v>172</v>
      </c>
      <c r="Q13" s="137" t="s">
        <v>98</v>
      </c>
      <c r="R13" s="134">
        <v>43</v>
      </c>
      <c r="S13" s="134">
        <v>35</v>
      </c>
      <c r="T13" s="134">
        <v>20</v>
      </c>
      <c r="U13" s="134">
        <v>35</v>
      </c>
      <c r="V13" s="134"/>
      <c r="W13" s="134"/>
      <c r="X13" s="134"/>
      <c r="Y13" s="134"/>
      <c r="Z13" s="135">
        <v>20</v>
      </c>
    </row>
    <row r="14" spans="1:27" x14ac:dyDescent="0.15">
      <c r="A14" s="136" t="str">
        <f t="shared" si="0"/>
        <v>フィジオ140</v>
      </c>
      <c r="B14" s="170">
        <v>0</v>
      </c>
      <c r="C14" s="126" t="s">
        <v>21</v>
      </c>
      <c r="D14" s="126"/>
      <c r="E14" s="116" t="s">
        <v>16</v>
      </c>
      <c r="F14" s="165">
        <f>(SUMPRODUCT(B8:B29,U8:U29))/B31</f>
        <v>68.573667711598745</v>
      </c>
      <c r="G14" s="127" t="s">
        <v>124</v>
      </c>
      <c r="I14" s="136" t="str">
        <f t="shared" si="1"/>
        <v>フィジオ140</v>
      </c>
      <c r="J14" s="170">
        <v>0</v>
      </c>
      <c r="K14" s="126" t="s">
        <v>21</v>
      </c>
      <c r="L14" s="116" t="s">
        <v>16</v>
      </c>
      <c r="M14" s="120">
        <f>IF(J31=0,0,(SUMPRODUCT(J8:J29,U8:U29))/J31)</f>
        <v>116.07142857142857</v>
      </c>
      <c r="N14" s="127" t="s">
        <v>124</v>
      </c>
      <c r="Q14" s="137" t="s">
        <v>106</v>
      </c>
      <c r="R14" s="134">
        <v>10</v>
      </c>
      <c r="S14" s="134">
        <v>140</v>
      </c>
      <c r="T14" s="134">
        <v>4</v>
      </c>
      <c r="U14" s="134">
        <v>115</v>
      </c>
      <c r="V14" s="134">
        <v>3</v>
      </c>
      <c r="W14" s="134">
        <v>2</v>
      </c>
      <c r="X14" s="134"/>
      <c r="Y14" s="134"/>
      <c r="Z14" s="135">
        <v>34</v>
      </c>
    </row>
    <row r="15" spans="1:27" x14ac:dyDescent="0.15">
      <c r="A15" s="136" t="str">
        <f t="shared" si="0"/>
        <v>フィジオ35</v>
      </c>
      <c r="B15" s="170">
        <v>0</v>
      </c>
      <c r="C15" s="126" t="s">
        <v>21</v>
      </c>
      <c r="D15" s="126"/>
      <c r="E15" s="139" t="s">
        <v>123</v>
      </c>
      <c r="F15" s="165">
        <f>(SUMPRODUCT(B8:B29,V8:V29))/B31</f>
        <v>0</v>
      </c>
      <c r="G15" s="127" t="s">
        <v>124</v>
      </c>
      <c r="I15" s="136" t="str">
        <f t="shared" si="1"/>
        <v>フィジオ35</v>
      </c>
      <c r="J15" s="170">
        <v>0</v>
      </c>
      <c r="K15" s="126" t="s">
        <v>21</v>
      </c>
      <c r="L15" s="139" t="s">
        <v>123</v>
      </c>
      <c r="M15" s="120">
        <f>IF(J31=0,0,(SUMPRODUCT(J8:J29,V8:V29))/J31)</f>
        <v>2.9761904761904763</v>
      </c>
      <c r="N15" s="127" t="s">
        <v>124</v>
      </c>
      <c r="Q15" s="137" t="s">
        <v>99</v>
      </c>
      <c r="R15" s="134">
        <v>100</v>
      </c>
      <c r="S15" s="134">
        <v>35</v>
      </c>
      <c r="T15" s="134">
        <v>20</v>
      </c>
      <c r="U15" s="134">
        <v>28</v>
      </c>
      <c r="V15" s="134">
        <v>5</v>
      </c>
      <c r="W15" s="134">
        <v>3</v>
      </c>
      <c r="X15" s="134"/>
      <c r="Y15" s="134"/>
      <c r="Z15" s="135">
        <v>25</v>
      </c>
    </row>
    <row r="16" spans="1:27" x14ac:dyDescent="0.15">
      <c r="A16" s="136" t="str">
        <f t="shared" si="0"/>
        <v>ビーフリード</v>
      </c>
      <c r="B16" s="170">
        <v>0</v>
      </c>
      <c r="C16" s="138" t="s">
        <v>21</v>
      </c>
      <c r="D16" s="126"/>
      <c r="E16" s="139" t="s">
        <v>33</v>
      </c>
      <c r="F16" s="165">
        <f>(SUMPRODUCT(B8:B29,W8:W29))/B31</f>
        <v>0</v>
      </c>
      <c r="G16" s="127" t="s">
        <v>124</v>
      </c>
      <c r="I16" s="136" t="str">
        <f t="shared" si="1"/>
        <v>ビーフリード</v>
      </c>
      <c r="J16" s="170">
        <v>0</v>
      </c>
      <c r="K16" s="138" t="s">
        <v>21</v>
      </c>
      <c r="L16" s="139" t="s">
        <v>33</v>
      </c>
      <c r="M16" s="120">
        <f>IF(J31=0,0,(SUMPRODUCT(J8:J29,W8:W29))/J31)</f>
        <v>0</v>
      </c>
      <c r="N16" s="127" t="s">
        <v>124</v>
      </c>
      <c r="Q16" s="137" t="s">
        <v>149</v>
      </c>
      <c r="R16" s="134">
        <v>75</v>
      </c>
      <c r="S16" s="134">
        <v>35</v>
      </c>
      <c r="T16" s="134">
        <v>20</v>
      </c>
      <c r="U16" s="134">
        <v>35</v>
      </c>
      <c r="V16" s="134">
        <v>5</v>
      </c>
      <c r="W16" s="134">
        <v>5</v>
      </c>
      <c r="X16" s="134">
        <v>301</v>
      </c>
      <c r="Y16" s="134">
        <v>30</v>
      </c>
      <c r="Z16" s="135">
        <v>42</v>
      </c>
    </row>
    <row r="17" spans="1:27" x14ac:dyDescent="0.15">
      <c r="A17" s="218" t="str">
        <f t="shared" si="0"/>
        <v>フルカリック1号液(903ml)</v>
      </c>
      <c r="B17" s="170">
        <v>0</v>
      </c>
      <c r="C17" s="126" t="s">
        <v>21</v>
      </c>
      <c r="D17" s="126"/>
      <c r="E17" s="139" t="s">
        <v>32</v>
      </c>
      <c r="F17" s="165">
        <f>(SUMPRODUCT(B8:B29,X8:X29))/B31</f>
        <v>0</v>
      </c>
      <c r="G17" s="127" t="s">
        <v>128</v>
      </c>
      <c r="I17" s="218" t="str">
        <f t="shared" si="1"/>
        <v>フルカリック1号液(903ml)</v>
      </c>
      <c r="J17" s="170">
        <v>0</v>
      </c>
      <c r="K17" s="126" t="s">
        <v>21</v>
      </c>
      <c r="L17" s="139" t="s">
        <v>32</v>
      </c>
      <c r="M17" s="120">
        <f>IF(J31=0,0,(SUMPRODUCT(J8:J29,X8:X29))/J31)</f>
        <v>0</v>
      </c>
      <c r="N17" s="127" t="s">
        <v>128</v>
      </c>
      <c r="Q17" s="137" t="s">
        <v>166</v>
      </c>
      <c r="R17" s="134">
        <v>133</v>
      </c>
      <c r="S17" s="134">
        <v>55.4</v>
      </c>
      <c r="T17" s="134">
        <v>33.200000000000003</v>
      </c>
      <c r="U17" s="134">
        <v>54.3</v>
      </c>
      <c r="V17" s="134">
        <v>9.4</v>
      </c>
      <c r="W17" s="134">
        <v>11.1</v>
      </c>
      <c r="X17" s="134">
        <v>277</v>
      </c>
      <c r="Y17" s="134">
        <v>22.1</v>
      </c>
      <c r="Z17" s="140">
        <f>(30+11.9+8.5)/0.903</f>
        <v>55.813953488372093</v>
      </c>
    </row>
    <row r="18" spans="1:27" x14ac:dyDescent="0.15">
      <c r="A18" s="218" t="str">
        <f t="shared" si="0"/>
        <v>フルカリック2号液(1003ml)</v>
      </c>
      <c r="B18" s="170">
        <v>0</v>
      </c>
      <c r="C18" s="126" t="s">
        <v>21</v>
      </c>
      <c r="D18" s="126"/>
      <c r="E18" s="116" t="s">
        <v>31</v>
      </c>
      <c r="F18" s="166">
        <f>(SUMPRODUCT(B8:B29,Y8:Y29))/B31</f>
        <v>0</v>
      </c>
      <c r="G18" s="127" t="s">
        <v>125</v>
      </c>
      <c r="I18" s="218" t="str">
        <f t="shared" si="1"/>
        <v>フルカリック2号液(1003ml)</v>
      </c>
      <c r="J18" s="170">
        <v>0</v>
      </c>
      <c r="K18" s="126" t="s">
        <v>21</v>
      </c>
      <c r="L18" s="116" t="s">
        <v>31</v>
      </c>
      <c r="M18" s="120">
        <f>IF(J31=0,0,(SUMPRODUCT(J8:J29,Y8:Y29))/J31)</f>
        <v>0</v>
      </c>
      <c r="N18" s="127" t="s">
        <v>125</v>
      </c>
      <c r="Q18" s="137" t="s">
        <v>167</v>
      </c>
      <c r="R18" s="134">
        <v>175</v>
      </c>
      <c r="S18" s="134">
        <v>50</v>
      </c>
      <c r="T18" s="134">
        <v>30</v>
      </c>
      <c r="U18" s="134">
        <v>49</v>
      </c>
      <c r="V18" s="134">
        <v>8.5</v>
      </c>
      <c r="W18" s="134">
        <v>10</v>
      </c>
      <c r="X18" s="134">
        <v>250</v>
      </c>
      <c r="Y18" s="134">
        <v>30</v>
      </c>
      <c r="Z18" s="140">
        <f>(11.9+30+8.5)/1.003</f>
        <v>50.249252243270192</v>
      </c>
    </row>
    <row r="19" spans="1:27" x14ac:dyDescent="0.15">
      <c r="A19" s="136" t="str">
        <f t="shared" si="0"/>
        <v>50%ブドウ糖</v>
      </c>
      <c r="B19" s="170">
        <v>0</v>
      </c>
      <c r="C19" s="126" t="s">
        <v>21</v>
      </c>
      <c r="D19" s="126"/>
      <c r="E19" s="139" t="s">
        <v>183</v>
      </c>
      <c r="F19" s="165">
        <f>IF(B31=0,0,(SUMPRODUCT(B8:B29,Z8:Z29))/B31)</f>
        <v>19.592476489028215</v>
      </c>
      <c r="G19" s="127" t="s">
        <v>124</v>
      </c>
      <c r="I19" s="136" t="str">
        <f t="shared" si="1"/>
        <v>50%ブドウ糖</v>
      </c>
      <c r="J19" s="170">
        <v>0</v>
      </c>
      <c r="K19" s="126" t="s">
        <v>21</v>
      </c>
      <c r="L19" s="139" t="s">
        <v>183</v>
      </c>
      <c r="M19" s="120">
        <f>IF(J31=0,0,(SUMPRODUCT(J8:J29,Z8:Z29))/J31)</f>
        <v>27.777777777777779</v>
      </c>
      <c r="N19" s="127" t="s">
        <v>124</v>
      </c>
      <c r="Q19" s="137" t="s">
        <v>104</v>
      </c>
      <c r="R19" s="134">
        <v>500</v>
      </c>
      <c r="S19" s="134"/>
      <c r="T19" s="134"/>
      <c r="U19" s="134"/>
      <c r="V19" s="134"/>
      <c r="W19" s="134"/>
      <c r="X19" s="134"/>
      <c r="Y19" s="134"/>
      <c r="Z19" s="135"/>
    </row>
    <row r="20" spans="1:27" x14ac:dyDescent="0.15">
      <c r="A20" s="136" t="str">
        <f t="shared" si="0"/>
        <v>10%NaCl</v>
      </c>
      <c r="B20" s="170">
        <v>0</v>
      </c>
      <c r="C20" s="126" t="s">
        <v>21</v>
      </c>
      <c r="D20" s="126"/>
      <c r="G20" s="142"/>
      <c r="I20" s="136" t="str">
        <f t="shared" si="1"/>
        <v>10%NaCl</v>
      </c>
      <c r="J20" s="170">
        <v>0</v>
      </c>
      <c r="K20" s="126" t="s">
        <v>21</v>
      </c>
      <c r="N20" s="142"/>
      <c r="Q20" s="137" t="s">
        <v>88</v>
      </c>
      <c r="R20" s="134"/>
      <c r="S20" s="134">
        <v>1700</v>
      </c>
      <c r="T20" s="134"/>
      <c r="U20" s="134">
        <v>1700</v>
      </c>
      <c r="V20" s="134"/>
      <c r="W20" s="134"/>
      <c r="X20" s="134"/>
      <c r="Y20" s="134"/>
      <c r="Z20" s="135"/>
    </row>
    <row r="21" spans="1:27" x14ac:dyDescent="0.15">
      <c r="A21" s="136" t="str">
        <f t="shared" si="0"/>
        <v>KCl注20mEqキット</v>
      </c>
      <c r="B21" s="170">
        <v>0</v>
      </c>
      <c r="C21" s="138" t="s">
        <v>21</v>
      </c>
      <c r="D21" s="126"/>
      <c r="G21" s="142"/>
      <c r="I21" s="136" t="str">
        <f t="shared" si="1"/>
        <v>KCl注20mEqキット</v>
      </c>
      <c r="J21" s="170">
        <v>4</v>
      </c>
      <c r="K21" s="138" t="s">
        <v>21</v>
      </c>
      <c r="N21" s="142"/>
      <c r="Q21" s="137" t="s">
        <v>146</v>
      </c>
      <c r="R21" s="134"/>
      <c r="S21" s="134"/>
      <c r="T21" s="134">
        <v>1000</v>
      </c>
      <c r="U21" s="134">
        <v>1000</v>
      </c>
      <c r="V21" s="134"/>
      <c r="W21" s="134"/>
      <c r="X21" s="134"/>
      <c r="Y21" s="134"/>
      <c r="Z21" s="135"/>
    </row>
    <row r="22" spans="1:27" x14ac:dyDescent="0.15">
      <c r="A22" s="136" t="str">
        <f t="shared" si="0"/>
        <v>プレアミン</v>
      </c>
      <c r="B22" s="170">
        <v>0</v>
      </c>
      <c r="C22" s="126" t="s">
        <v>21</v>
      </c>
      <c r="D22" s="126"/>
      <c r="E22" s="116"/>
      <c r="F22" s="117"/>
      <c r="G22" s="127"/>
      <c r="I22" s="136" t="str">
        <f t="shared" si="1"/>
        <v>プレアミン</v>
      </c>
      <c r="J22" s="170">
        <v>0</v>
      </c>
      <c r="K22" s="126" t="s">
        <v>21</v>
      </c>
      <c r="L22" s="116"/>
      <c r="M22" s="117"/>
      <c r="N22" s="127"/>
      <c r="Q22" s="137" t="s">
        <v>105</v>
      </c>
      <c r="R22" s="134"/>
      <c r="S22" s="134">
        <v>3</v>
      </c>
      <c r="T22" s="134"/>
      <c r="U22" s="134"/>
      <c r="V22" s="134"/>
      <c r="W22" s="134"/>
      <c r="X22" s="134"/>
      <c r="Y22" s="134">
        <v>76</v>
      </c>
      <c r="Z22" s="135"/>
    </row>
    <row r="23" spans="1:27" x14ac:dyDescent="0.15">
      <c r="A23" s="136" t="str">
        <f t="shared" si="0"/>
        <v>フルスルチアミン</v>
      </c>
      <c r="B23" s="170">
        <v>0</v>
      </c>
      <c r="C23" s="126" t="s">
        <v>21</v>
      </c>
      <c r="D23" s="126"/>
      <c r="E23" s="126"/>
      <c r="F23" s="126"/>
      <c r="G23" s="142"/>
      <c r="I23" s="136" t="str">
        <f t="shared" si="1"/>
        <v>フルスルチアミン</v>
      </c>
      <c r="J23" s="170">
        <v>0</v>
      </c>
      <c r="K23" s="126" t="s">
        <v>200</v>
      </c>
      <c r="L23" s="126"/>
      <c r="M23" s="126"/>
      <c r="N23" s="142"/>
      <c r="Q23" s="137" t="s">
        <v>201</v>
      </c>
      <c r="R23" s="134">
        <v>200</v>
      </c>
      <c r="S23" s="134"/>
      <c r="T23" s="134"/>
      <c r="U23" s="134"/>
      <c r="V23" s="134"/>
      <c r="W23" s="134"/>
      <c r="X23" s="134"/>
      <c r="Y23" s="134"/>
      <c r="Z23" s="135"/>
    </row>
    <row r="24" spans="1:27" x14ac:dyDescent="0.15">
      <c r="A24" s="136" t="str">
        <f t="shared" si="0"/>
        <v>ビタメジン</v>
      </c>
      <c r="B24" s="170">
        <v>10</v>
      </c>
      <c r="C24" s="126" t="s">
        <v>21</v>
      </c>
      <c r="D24" s="126"/>
      <c r="E24" s="126"/>
      <c r="F24" s="126"/>
      <c r="G24" s="142"/>
      <c r="I24" s="136" t="str">
        <f t="shared" si="1"/>
        <v>ビタメジン</v>
      </c>
      <c r="J24" s="170">
        <v>0</v>
      </c>
      <c r="K24" s="126" t="s">
        <v>21</v>
      </c>
      <c r="L24" s="126"/>
      <c r="M24" s="126"/>
      <c r="N24" s="142"/>
      <c r="Q24" s="137" t="s">
        <v>202</v>
      </c>
      <c r="R24" s="134"/>
      <c r="S24" s="134"/>
      <c r="T24" s="134"/>
      <c r="U24" s="134"/>
      <c r="V24" s="134"/>
      <c r="W24" s="134"/>
      <c r="X24" s="134"/>
      <c r="Y24" s="134"/>
      <c r="Z24" s="135"/>
    </row>
    <row r="25" spans="1:27" x14ac:dyDescent="0.15">
      <c r="A25" s="136" t="str">
        <f t="shared" si="0"/>
        <v>カルチコール</v>
      </c>
      <c r="B25" s="170">
        <v>0</v>
      </c>
      <c r="C25" s="126" t="s">
        <v>21</v>
      </c>
      <c r="D25" s="126"/>
      <c r="E25" s="126"/>
      <c r="F25" s="126"/>
      <c r="G25" s="142"/>
      <c r="I25" s="136" t="str">
        <f t="shared" si="1"/>
        <v>カルチコール</v>
      </c>
      <c r="J25" s="170">
        <v>0</v>
      </c>
      <c r="K25" s="126" t="s">
        <v>21</v>
      </c>
      <c r="L25" s="126"/>
      <c r="M25" s="126"/>
      <c r="N25" s="142"/>
      <c r="Q25" s="137" t="s">
        <v>4</v>
      </c>
      <c r="R25" s="134"/>
      <c r="S25" s="134"/>
      <c r="T25" s="134"/>
      <c r="U25" s="134"/>
      <c r="V25" s="134">
        <v>390</v>
      </c>
      <c r="W25" s="134"/>
      <c r="X25" s="134"/>
      <c r="Y25" s="134"/>
      <c r="Z25" s="135"/>
    </row>
    <row r="26" spans="1:27" x14ac:dyDescent="0.15">
      <c r="A26" s="136" t="str">
        <f t="shared" si="0"/>
        <v>リン酸Na補正液</v>
      </c>
      <c r="B26" s="170">
        <v>0</v>
      </c>
      <c r="C26" s="126" t="s">
        <v>21</v>
      </c>
      <c r="D26" s="126"/>
      <c r="E26" s="126"/>
      <c r="F26" s="126"/>
      <c r="G26" s="142"/>
      <c r="I26" s="136" t="str">
        <f t="shared" si="1"/>
        <v>リン酸Na補正液</v>
      </c>
      <c r="J26" s="170">
        <v>0</v>
      </c>
      <c r="K26" s="126" t="s">
        <v>21</v>
      </c>
      <c r="L26" s="126"/>
      <c r="M26" s="126"/>
      <c r="N26" s="142"/>
      <c r="Q26" s="137" t="s">
        <v>102</v>
      </c>
      <c r="R26" s="134"/>
      <c r="S26" s="134">
        <v>750</v>
      </c>
      <c r="T26" s="134"/>
      <c r="U26" s="134"/>
      <c r="V26" s="134"/>
      <c r="W26" s="134"/>
      <c r="X26" s="134">
        <v>15500</v>
      </c>
      <c r="Y26" s="134"/>
      <c r="Z26" s="135"/>
    </row>
    <row r="27" spans="1:27" x14ac:dyDescent="0.15">
      <c r="A27" s="136" t="str">
        <f t="shared" si="0"/>
        <v>硫酸Mg補正液</v>
      </c>
      <c r="B27" s="170">
        <v>0</v>
      </c>
      <c r="C27" s="126" t="s">
        <v>21</v>
      </c>
      <c r="D27" s="126"/>
      <c r="E27" s="126"/>
      <c r="F27" s="126"/>
      <c r="G27" s="142"/>
      <c r="I27" s="136" t="str">
        <f t="shared" si="1"/>
        <v>硫酸Mg補正液</v>
      </c>
      <c r="J27" s="170">
        <v>0</v>
      </c>
      <c r="K27" s="126" t="s">
        <v>21</v>
      </c>
      <c r="L27" s="126"/>
      <c r="M27" s="126"/>
      <c r="N27" s="142"/>
      <c r="Q27" s="137" t="s">
        <v>103</v>
      </c>
      <c r="R27" s="134"/>
      <c r="S27" s="134"/>
      <c r="T27" s="134"/>
      <c r="U27" s="134"/>
      <c r="V27" s="134"/>
      <c r="W27" s="134">
        <v>1000</v>
      </c>
      <c r="X27" s="134"/>
      <c r="Y27" s="134"/>
      <c r="Z27" s="135">
        <v>1000</v>
      </c>
    </row>
    <row r="28" spans="1:27" x14ac:dyDescent="0.15">
      <c r="A28" s="136" t="str">
        <f t="shared" si="0"/>
        <v>メイロン静注7%</v>
      </c>
      <c r="B28" s="170">
        <v>0</v>
      </c>
      <c r="C28" s="138" t="s">
        <v>21</v>
      </c>
      <c r="D28" s="126"/>
      <c r="E28" s="126"/>
      <c r="F28" s="126"/>
      <c r="G28" s="142"/>
      <c r="I28" s="136" t="str">
        <f t="shared" si="1"/>
        <v>メイロン静注7%</v>
      </c>
      <c r="J28" s="170">
        <v>0</v>
      </c>
      <c r="K28" s="138" t="s">
        <v>21</v>
      </c>
      <c r="L28" s="126"/>
      <c r="M28" s="126"/>
      <c r="N28" s="142"/>
      <c r="Q28" s="143" t="s">
        <v>168</v>
      </c>
      <c r="R28" s="144"/>
      <c r="S28" s="144">
        <v>833</v>
      </c>
      <c r="T28" s="144"/>
      <c r="U28" s="144"/>
      <c r="V28" s="144"/>
      <c r="W28" s="144"/>
      <c r="X28" s="144"/>
      <c r="Y28" s="144"/>
      <c r="Z28" s="145">
        <v>833</v>
      </c>
    </row>
    <row r="29" spans="1:27" x14ac:dyDescent="0.15">
      <c r="A29" s="218" t="str">
        <f t="shared" si="0"/>
        <v>ヘパリンNa 5千単位/5mL</v>
      </c>
      <c r="B29" s="170">
        <v>0.4</v>
      </c>
      <c r="C29" s="126" t="s">
        <v>21</v>
      </c>
      <c r="D29" s="126"/>
      <c r="E29" s="131" t="s">
        <v>37</v>
      </c>
      <c r="F29" s="120">
        <f>IF(B31=0,"",B29*AA29/B31)</f>
        <v>0.78369905956112851</v>
      </c>
      <c r="G29" s="142" t="s">
        <v>199</v>
      </c>
      <c r="I29" s="218" t="str">
        <f t="shared" si="1"/>
        <v>ヘパリンNa 5千単位/5mL</v>
      </c>
      <c r="J29" s="170">
        <v>0</v>
      </c>
      <c r="K29" s="126" t="s">
        <v>21</v>
      </c>
      <c r="L29" s="146" t="s">
        <v>37</v>
      </c>
      <c r="M29" s="120">
        <f>IF(J31=0,"",J29*AA29/J31)</f>
        <v>0</v>
      </c>
      <c r="N29" s="142" t="s">
        <v>199</v>
      </c>
      <c r="Q29" s="147" t="s">
        <v>204</v>
      </c>
      <c r="R29" s="147"/>
      <c r="S29" s="147">
        <v>68</v>
      </c>
      <c r="T29" s="147"/>
      <c r="U29" s="147"/>
      <c r="V29" s="147"/>
      <c r="W29" s="147"/>
      <c r="X29" s="147"/>
      <c r="Y29" s="147"/>
      <c r="Z29" s="147"/>
      <c r="AA29" s="114">
        <v>1000</v>
      </c>
    </row>
    <row r="30" spans="1:27" x14ac:dyDescent="0.15">
      <c r="A30" s="136" t="s">
        <v>9</v>
      </c>
      <c r="B30" s="170">
        <v>0</v>
      </c>
      <c r="C30" s="126" t="s">
        <v>21</v>
      </c>
      <c r="D30" s="126"/>
      <c r="E30" s="126"/>
      <c r="F30" s="126"/>
      <c r="G30" s="142"/>
      <c r="I30" s="136" t="s">
        <v>9</v>
      </c>
      <c r="J30" s="170">
        <v>0</v>
      </c>
      <c r="K30" s="126" t="s">
        <v>21</v>
      </c>
      <c r="L30" s="126"/>
      <c r="M30" s="126"/>
      <c r="N30" s="142"/>
    </row>
    <row r="31" spans="1:27" x14ac:dyDescent="0.15">
      <c r="A31" s="148" t="s">
        <v>12</v>
      </c>
      <c r="B31" s="120">
        <f>SUM(B8:B30)</f>
        <v>510.4</v>
      </c>
      <c r="C31" s="126" t="s">
        <v>21</v>
      </c>
      <c r="D31" s="126"/>
      <c r="E31" s="149" t="s">
        <v>161</v>
      </c>
      <c r="F31" s="120">
        <f>B31/B32</f>
        <v>11.342222222222222</v>
      </c>
      <c r="G31" s="142" t="s">
        <v>162</v>
      </c>
      <c r="I31" s="148" t="s">
        <v>12</v>
      </c>
      <c r="J31" s="120">
        <f>SUM(J8:J30)</f>
        <v>504</v>
      </c>
      <c r="K31" s="126" t="s">
        <v>21</v>
      </c>
      <c r="L31" s="149" t="s">
        <v>161</v>
      </c>
      <c r="M31" s="120" t="e">
        <f>IF(J31=0,0,(J31/J32))</f>
        <v>#DIV/0!</v>
      </c>
      <c r="N31" s="142" t="s">
        <v>162</v>
      </c>
      <c r="Q31" s="114" t="s">
        <v>156</v>
      </c>
    </row>
    <row r="32" spans="1:27" ht="14.25" thickBot="1" x14ac:dyDescent="0.2">
      <c r="A32" s="150" t="s">
        <v>114</v>
      </c>
      <c r="B32" s="171">
        <v>45</v>
      </c>
      <c r="C32" s="151" t="s">
        <v>23</v>
      </c>
      <c r="D32" s="151"/>
      <c r="E32" s="152" t="s">
        <v>20</v>
      </c>
      <c r="F32" s="172">
        <v>24</v>
      </c>
      <c r="G32" s="153" t="s">
        <v>162</v>
      </c>
      <c r="I32" s="150" t="s">
        <v>114</v>
      </c>
      <c r="J32" s="171">
        <v>0</v>
      </c>
      <c r="K32" s="151" t="s">
        <v>23</v>
      </c>
      <c r="L32" s="152" t="s">
        <v>20</v>
      </c>
      <c r="M32" s="172">
        <v>24</v>
      </c>
      <c r="N32" s="153" t="s">
        <v>162</v>
      </c>
      <c r="Q32" s="114" t="s">
        <v>157</v>
      </c>
    </row>
    <row r="33" spans="1:14" ht="14.25" thickBot="1" x14ac:dyDescent="0.2"/>
    <row r="34" spans="1:14" x14ac:dyDescent="0.15">
      <c r="A34" s="154" t="s">
        <v>17</v>
      </c>
      <c r="B34" s="155"/>
      <c r="C34" s="155"/>
      <c r="D34" s="155"/>
      <c r="E34" s="155"/>
      <c r="F34" s="155"/>
      <c r="G34" s="156"/>
      <c r="H34" s="118"/>
      <c r="I34" s="174" t="s">
        <v>112</v>
      </c>
      <c r="J34" s="175" t="s">
        <v>48</v>
      </c>
      <c r="K34" s="176" t="s">
        <v>49</v>
      </c>
    </row>
    <row r="35" spans="1:14" x14ac:dyDescent="0.15">
      <c r="A35" s="157" t="s">
        <v>126</v>
      </c>
      <c r="B35" s="120">
        <f>B36*B37</f>
        <v>0</v>
      </c>
      <c r="C35" s="117" t="s">
        <v>21</v>
      </c>
      <c r="D35" s="126"/>
      <c r="E35" s="117" t="s">
        <v>137</v>
      </c>
      <c r="F35" s="117"/>
      <c r="G35" s="127"/>
      <c r="I35" s="177" t="s">
        <v>45</v>
      </c>
      <c r="J35" s="178">
        <f>B45</f>
        <v>0</v>
      </c>
      <c r="K35" s="179">
        <f>IF(B42=0,0,J35*4/B42)</f>
        <v>0</v>
      </c>
    </row>
    <row r="36" spans="1:14" x14ac:dyDescent="0.15">
      <c r="A36" s="157" t="s">
        <v>19</v>
      </c>
      <c r="B36" s="170">
        <v>0</v>
      </c>
      <c r="C36" s="117" t="s">
        <v>24</v>
      </c>
      <c r="D36" s="126"/>
      <c r="E36" s="117" t="s">
        <v>140</v>
      </c>
      <c r="F36" s="117"/>
      <c r="G36" s="127"/>
      <c r="I36" s="177" t="s">
        <v>46</v>
      </c>
      <c r="J36" s="178">
        <f>B46</f>
        <v>0</v>
      </c>
      <c r="K36" s="179">
        <f>IF(B42=0,0,J36*9/B42)</f>
        <v>0</v>
      </c>
    </row>
    <row r="37" spans="1:14" ht="14.25" thickBot="1" x14ac:dyDescent="0.2">
      <c r="A37" s="158" t="s">
        <v>20</v>
      </c>
      <c r="B37" s="173">
        <v>0</v>
      </c>
      <c r="C37" s="159" t="s">
        <v>25</v>
      </c>
      <c r="D37" s="159"/>
      <c r="E37" s="159" t="s">
        <v>141</v>
      </c>
      <c r="F37" s="159"/>
      <c r="G37" s="160"/>
      <c r="I37" s="180" t="s">
        <v>47</v>
      </c>
      <c r="J37" s="181">
        <f>F9*60*F32/1000+M9*60*M32/1000</f>
        <v>3.2362161165406604</v>
      </c>
      <c r="K37" s="182">
        <f>IF(B42=0,0,J37*4/B42)</f>
        <v>1.0000000000000002</v>
      </c>
    </row>
    <row r="38" spans="1:14" ht="14.25" thickBot="1" x14ac:dyDescent="0.2"/>
    <row r="39" spans="1:14" ht="14.25" thickBot="1" x14ac:dyDescent="0.2">
      <c r="A39" s="161" t="s">
        <v>189</v>
      </c>
      <c r="B39" s="162"/>
      <c r="C39" s="162"/>
      <c r="D39" s="163"/>
    </row>
    <row r="40" spans="1:14" x14ac:dyDescent="0.15">
      <c r="A40" s="183" t="s">
        <v>117</v>
      </c>
      <c r="B40" s="210">
        <f>B32*F32+J32*M32+B35</f>
        <v>1080</v>
      </c>
      <c r="C40" s="184" t="s">
        <v>118</v>
      </c>
      <c r="D40" s="185"/>
      <c r="E40" s="186" t="s">
        <v>14</v>
      </c>
      <c r="F40" s="213">
        <f>F10/1000*B32*F32/B5+M10/1000*J32*M32/B5</f>
        <v>11.209057717130738</v>
      </c>
      <c r="G40" s="187" t="s">
        <v>59</v>
      </c>
      <c r="H40" s="188"/>
      <c r="I40" s="189" t="s">
        <v>123</v>
      </c>
      <c r="J40" s="214">
        <f>F15/1000*B32*F32/B5+M15/1000*J32*M32/B5</f>
        <v>0</v>
      </c>
      <c r="K40" s="190" t="s">
        <v>59</v>
      </c>
      <c r="L40" s="186" t="s">
        <v>7</v>
      </c>
      <c r="M40" s="215">
        <f>IF(J31=0,0,B23/B31*B32*F32/B5+J23/J31*J32*M32/B5)</f>
        <v>0</v>
      </c>
      <c r="N40" s="191" t="s">
        <v>55</v>
      </c>
    </row>
    <row r="41" spans="1:14" x14ac:dyDescent="0.15">
      <c r="A41" s="192"/>
      <c r="B41" s="167">
        <f>IF(B4=0,"-",B40/(B4*B5/3600)^0.5)</f>
        <v>2583.7452019656362</v>
      </c>
      <c r="C41" s="138" t="s">
        <v>190</v>
      </c>
      <c r="D41" s="193"/>
      <c r="E41" s="139" t="s">
        <v>163</v>
      </c>
      <c r="F41" s="120">
        <f>(F10*B32+M10*J32)/(B32+J32)</f>
        <v>88.219435736677113</v>
      </c>
      <c r="G41" s="164" t="s">
        <v>124</v>
      </c>
      <c r="H41" s="193"/>
      <c r="I41" s="194" t="s">
        <v>4</v>
      </c>
      <c r="J41" s="120">
        <f>IF(J31=0,0,B25/B31*B32*F32/B5+J25/J31*J32*M32/B5)</f>
        <v>0</v>
      </c>
      <c r="K41" s="195" t="s">
        <v>55</v>
      </c>
      <c r="L41" s="139" t="s">
        <v>8</v>
      </c>
      <c r="M41" s="216">
        <f>IF(J31=0,0,B24/B31*B32*F32/B5+J24/J31*J32*M32/B5)</f>
        <v>2.4893970127235847</v>
      </c>
      <c r="N41" s="196" t="s">
        <v>55</v>
      </c>
    </row>
    <row r="42" spans="1:14" x14ac:dyDescent="0.15">
      <c r="A42" s="197" t="s">
        <v>28</v>
      </c>
      <c r="B42" s="210">
        <f>F9/1000*60*F32*4+M9/1000*60*M32*4+B45*4+B46*9</f>
        <v>12.94486446616264</v>
      </c>
      <c r="C42" s="164" t="s">
        <v>56</v>
      </c>
      <c r="D42" s="193"/>
      <c r="E42" s="139" t="s">
        <v>176</v>
      </c>
      <c r="F42" s="120">
        <f>F40*B5</f>
        <v>95.276990595611281</v>
      </c>
      <c r="G42" s="164" t="s">
        <v>177</v>
      </c>
      <c r="H42" s="193"/>
      <c r="I42" s="194" t="s">
        <v>32</v>
      </c>
      <c r="J42" s="132">
        <f>F17/1000*B32*F32/B5+M17/1000*J32*M32</f>
        <v>0</v>
      </c>
      <c r="K42" s="195" t="s">
        <v>136</v>
      </c>
      <c r="L42" s="146"/>
      <c r="M42" s="138"/>
      <c r="N42" s="198"/>
    </row>
    <row r="43" spans="1:14" x14ac:dyDescent="0.15">
      <c r="A43" s="199" t="s">
        <v>164</v>
      </c>
      <c r="B43" s="168">
        <f>B42*B5</f>
        <v>110.03134796238244</v>
      </c>
      <c r="C43" s="138" t="s">
        <v>165</v>
      </c>
      <c r="D43" s="193"/>
      <c r="E43" s="139" t="s">
        <v>176</v>
      </c>
      <c r="F43" s="120">
        <f>F40*B5/17</f>
        <v>5.6045288585653692</v>
      </c>
      <c r="G43" s="164" t="s">
        <v>182</v>
      </c>
      <c r="H43" s="193"/>
      <c r="I43" s="194" t="s">
        <v>132</v>
      </c>
      <c r="J43" s="120">
        <f>IF(J31=0,0,B26/B31*B32*F32/B5+J26/J31*J32*M32/B5)</f>
        <v>0</v>
      </c>
      <c r="K43" s="195" t="s">
        <v>55</v>
      </c>
      <c r="L43" s="146" t="s">
        <v>183</v>
      </c>
      <c r="M43" s="141">
        <f>(F19*B32*F32/1000+M19*J32*M32/1000)/B5</f>
        <v>2.4893970127235847</v>
      </c>
      <c r="N43" s="198" t="s">
        <v>59</v>
      </c>
    </row>
    <row r="44" spans="1:14" x14ac:dyDescent="0.15">
      <c r="A44" s="197" t="s">
        <v>30</v>
      </c>
      <c r="B44" s="211">
        <f>F9+M9</f>
        <v>2.2473723031532362</v>
      </c>
      <c r="C44" s="164" t="s">
        <v>57</v>
      </c>
      <c r="D44" s="193"/>
      <c r="E44" s="139" t="s">
        <v>15</v>
      </c>
      <c r="F44" s="120">
        <f>F12/1000*B32*F32/B5+M12/1000*J32*M32/B5</f>
        <v>0</v>
      </c>
      <c r="G44" s="164" t="s">
        <v>59</v>
      </c>
      <c r="H44" s="193"/>
      <c r="I44" s="194" t="s">
        <v>33</v>
      </c>
      <c r="J44" s="132">
        <f>F16/1000*B32*F32/B5+M16/1000*J32*M32</f>
        <v>0</v>
      </c>
      <c r="K44" s="195" t="s">
        <v>59</v>
      </c>
      <c r="L44" s="146" t="s">
        <v>185</v>
      </c>
      <c r="M44" s="120">
        <f>(F19*B32+M19*J32)/(B32+J32)</f>
        <v>19.592476489028215</v>
      </c>
      <c r="N44" s="198" t="s">
        <v>124</v>
      </c>
    </row>
    <row r="45" spans="1:14" x14ac:dyDescent="0.15">
      <c r="A45" s="197" t="s">
        <v>31</v>
      </c>
      <c r="B45" s="120">
        <f>F18/1000*B32*F32/B5+M18/1000*J32*M32/B5</f>
        <v>0</v>
      </c>
      <c r="C45" s="164" t="s">
        <v>48</v>
      </c>
      <c r="D45" s="193"/>
      <c r="E45" s="139" t="s">
        <v>163</v>
      </c>
      <c r="F45" s="120">
        <f>(F12*B32+M12*J32)/(B32+J32)</f>
        <v>0</v>
      </c>
      <c r="G45" s="138" t="s">
        <v>124</v>
      </c>
      <c r="H45" s="193"/>
      <c r="I45" s="194" t="s">
        <v>103</v>
      </c>
      <c r="J45" s="141">
        <f>IF(J31=0,0,B27/B31*B32*F32/B5+J27/J31*J32*M32/B5)</f>
        <v>0</v>
      </c>
      <c r="K45" s="195" t="s">
        <v>55</v>
      </c>
      <c r="L45" s="146" t="s">
        <v>186</v>
      </c>
      <c r="M45" s="217">
        <f>F19*B32*F32/1000+M19*J32*M32/1000</f>
        <v>21.159874608150471</v>
      </c>
      <c r="N45" s="198" t="s">
        <v>177</v>
      </c>
    </row>
    <row r="46" spans="1:14" ht="14.25" thickBot="1" x14ac:dyDescent="0.2">
      <c r="A46" s="200" t="s">
        <v>34</v>
      </c>
      <c r="B46" s="212">
        <f>B35/5/B5</f>
        <v>0</v>
      </c>
      <c r="C46" s="201" t="s">
        <v>48</v>
      </c>
      <c r="D46" s="202"/>
      <c r="E46" s="203" t="s">
        <v>179</v>
      </c>
      <c r="F46" s="212">
        <f>F44*B5</f>
        <v>0</v>
      </c>
      <c r="G46" s="204" t="s">
        <v>177</v>
      </c>
      <c r="H46" s="202"/>
      <c r="I46" s="205"/>
      <c r="J46" s="206"/>
      <c r="K46" s="207"/>
      <c r="L46" s="203"/>
      <c r="M46" s="208"/>
      <c r="N46" s="209"/>
    </row>
    <row r="58" spans="1:8" x14ac:dyDescent="0.15">
      <c r="H58" s="118"/>
    </row>
    <row r="59" spans="1:8" x14ac:dyDescent="0.15">
      <c r="H59" s="118"/>
    </row>
    <row r="60" spans="1:8" x14ac:dyDescent="0.15">
      <c r="H60" s="118"/>
    </row>
    <row r="61" spans="1:8" x14ac:dyDescent="0.15">
      <c r="H61" s="118"/>
    </row>
    <row r="64" spans="1:8" x14ac:dyDescent="0.15">
      <c r="A64" s="164"/>
    </row>
  </sheetData>
  <sheetProtection sheet="1" objects="1" scenarios="1"/>
  <phoneticPr fontId="1"/>
  <conditionalFormatting sqref="A12">
    <cfRule type="expression" dxfId="139" priority="52">
      <formula>$B$12&gt;0</formula>
    </cfRule>
  </conditionalFormatting>
  <conditionalFormatting sqref="A13">
    <cfRule type="expression" dxfId="138" priority="51">
      <formula>$B$13&gt;0</formula>
    </cfRule>
  </conditionalFormatting>
  <conditionalFormatting sqref="A14">
    <cfRule type="expression" dxfId="137" priority="50">
      <formula>$B$14&gt;0</formula>
    </cfRule>
  </conditionalFormatting>
  <conditionalFormatting sqref="A15">
    <cfRule type="expression" dxfId="136" priority="49">
      <formula>$B$15&gt;0</formula>
    </cfRule>
  </conditionalFormatting>
  <conditionalFormatting sqref="A16">
    <cfRule type="expression" dxfId="135" priority="48">
      <formula>$B$16&gt;0</formula>
    </cfRule>
  </conditionalFormatting>
  <conditionalFormatting sqref="A17">
    <cfRule type="expression" dxfId="134" priority="47">
      <formula>$B$17&gt;0</formula>
    </cfRule>
  </conditionalFormatting>
  <conditionalFormatting sqref="A18">
    <cfRule type="expression" dxfId="133" priority="46">
      <formula>$B$18&gt;0</formula>
    </cfRule>
  </conditionalFormatting>
  <conditionalFormatting sqref="A19">
    <cfRule type="expression" dxfId="132" priority="45">
      <formula>$B$19&gt;0</formula>
    </cfRule>
  </conditionalFormatting>
  <conditionalFormatting sqref="A20">
    <cfRule type="expression" dxfId="131" priority="44">
      <formula>$B$20&gt;0</formula>
    </cfRule>
  </conditionalFormatting>
  <conditionalFormatting sqref="A22">
    <cfRule type="expression" dxfId="130" priority="43">
      <formula>$B$22&gt;0</formula>
    </cfRule>
  </conditionalFormatting>
  <conditionalFormatting sqref="A23">
    <cfRule type="expression" dxfId="129" priority="42">
      <formula>$B$23&gt;0</formula>
    </cfRule>
  </conditionalFormatting>
  <conditionalFormatting sqref="A24">
    <cfRule type="expression" dxfId="128" priority="41">
      <formula>$B$24&gt;0</formula>
    </cfRule>
  </conditionalFormatting>
  <conditionalFormatting sqref="A25">
    <cfRule type="expression" dxfId="127" priority="40">
      <formula>$B$25&gt;0</formula>
    </cfRule>
  </conditionalFormatting>
  <conditionalFormatting sqref="A26">
    <cfRule type="expression" dxfId="126" priority="39">
      <formula>$B$26&gt;0</formula>
    </cfRule>
  </conditionalFormatting>
  <conditionalFormatting sqref="A27:A28">
    <cfRule type="expression" dxfId="125" priority="38">
      <formula>$B$27&gt;0</formula>
    </cfRule>
  </conditionalFormatting>
  <conditionalFormatting sqref="A29">
    <cfRule type="expression" dxfId="124" priority="37">
      <formula>$B$29&gt;0</formula>
    </cfRule>
  </conditionalFormatting>
  <conditionalFormatting sqref="A30">
    <cfRule type="expression" dxfId="123" priority="36">
      <formula>$B$30&gt;0</formula>
    </cfRule>
  </conditionalFormatting>
  <conditionalFormatting sqref="I12">
    <cfRule type="expression" dxfId="122" priority="35">
      <formula>$J$12&gt;0</formula>
    </cfRule>
  </conditionalFormatting>
  <conditionalFormatting sqref="I13">
    <cfRule type="expression" dxfId="121" priority="34">
      <formula>$J$13&gt;0</formula>
    </cfRule>
  </conditionalFormatting>
  <conditionalFormatting sqref="I14">
    <cfRule type="expression" dxfId="120" priority="33">
      <formula>$J$14&gt;0</formula>
    </cfRule>
  </conditionalFormatting>
  <conditionalFormatting sqref="I15">
    <cfRule type="expression" dxfId="119" priority="32">
      <formula>$J$15&gt;0</formula>
    </cfRule>
  </conditionalFormatting>
  <conditionalFormatting sqref="I16">
    <cfRule type="expression" dxfId="118" priority="31">
      <formula>$J$16&gt;0</formula>
    </cfRule>
  </conditionalFormatting>
  <conditionalFormatting sqref="I17">
    <cfRule type="expression" dxfId="117" priority="30">
      <formula>$J$17&gt;0</formula>
    </cfRule>
  </conditionalFormatting>
  <conditionalFormatting sqref="I18">
    <cfRule type="expression" dxfId="116" priority="29">
      <formula>$J$18&gt;0</formula>
    </cfRule>
  </conditionalFormatting>
  <conditionalFormatting sqref="I19">
    <cfRule type="expression" dxfId="115" priority="28">
      <formula>$J$19&gt;0</formula>
    </cfRule>
  </conditionalFormatting>
  <conditionalFormatting sqref="I20">
    <cfRule type="expression" dxfId="114" priority="27">
      <formula>$J$20&gt;0</formula>
    </cfRule>
  </conditionalFormatting>
  <conditionalFormatting sqref="I22">
    <cfRule type="expression" dxfId="113" priority="26">
      <formula>$J$22&gt;0</formula>
    </cfRule>
  </conditionalFormatting>
  <conditionalFormatting sqref="I23">
    <cfRule type="expression" dxfId="112" priority="25">
      <formula>$J$23&gt;0</formula>
    </cfRule>
  </conditionalFormatting>
  <conditionalFormatting sqref="I24">
    <cfRule type="expression" dxfId="111" priority="24">
      <formula>$J$24&gt;0</formula>
    </cfRule>
  </conditionalFormatting>
  <conditionalFormatting sqref="I25">
    <cfRule type="expression" dxfId="110" priority="23">
      <formula>$J$25&gt;0</formula>
    </cfRule>
  </conditionalFormatting>
  <conditionalFormatting sqref="I26">
    <cfRule type="expression" dxfId="109" priority="22">
      <formula>$J$26&gt;0</formula>
    </cfRule>
  </conditionalFormatting>
  <conditionalFormatting sqref="I27:I28">
    <cfRule type="expression" dxfId="108" priority="21">
      <formula>$J$27&gt;0</formula>
    </cfRule>
  </conditionalFormatting>
  <conditionalFormatting sqref="I29">
    <cfRule type="expression" dxfId="107" priority="20">
      <formula>$J$29&gt;0</formula>
    </cfRule>
  </conditionalFormatting>
  <conditionalFormatting sqref="I30">
    <cfRule type="expression" dxfId="106" priority="19">
      <formula>$J$30&gt;0</formula>
    </cfRule>
  </conditionalFormatting>
  <conditionalFormatting sqref="A35">
    <cfRule type="expression" dxfId="105" priority="18">
      <formula>$B$35&gt;0</formula>
    </cfRule>
  </conditionalFormatting>
  <conditionalFormatting sqref="A8">
    <cfRule type="expression" dxfId="104" priority="17">
      <formula>$B$8&gt;0</formula>
    </cfRule>
  </conditionalFormatting>
  <conditionalFormatting sqref="A9">
    <cfRule type="expression" dxfId="103" priority="16">
      <formula>$B$9&gt;0</formula>
    </cfRule>
  </conditionalFormatting>
  <conditionalFormatting sqref="I8">
    <cfRule type="expression" dxfId="102" priority="15">
      <formula>$J$8&gt;0</formula>
    </cfRule>
  </conditionalFormatting>
  <conditionalFormatting sqref="I9">
    <cfRule type="expression" dxfId="101" priority="14">
      <formula>$J$9&gt;0</formula>
    </cfRule>
  </conditionalFormatting>
  <conditionalFormatting sqref="A28">
    <cfRule type="expression" dxfId="100" priority="13">
      <formula>$B$28&gt;0</formula>
    </cfRule>
  </conditionalFormatting>
  <conditionalFormatting sqref="I28">
    <cfRule type="expression" dxfId="99" priority="12">
      <formula>$J$28&gt;0</formula>
    </cfRule>
  </conditionalFormatting>
  <conditionalFormatting sqref="A11">
    <cfRule type="expression" dxfId="98" priority="11">
      <formula>$B$11&gt;0</formula>
    </cfRule>
  </conditionalFormatting>
  <conditionalFormatting sqref="I11">
    <cfRule type="expression" dxfId="97" priority="10">
      <formula>$J$11&gt;0</formula>
    </cfRule>
  </conditionalFormatting>
  <conditionalFormatting sqref="F12">
    <cfRule type="expression" dxfId="96" priority="9">
      <formula>$F$12&gt;40</formula>
    </cfRule>
  </conditionalFormatting>
  <conditionalFormatting sqref="M12">
    <cfRule type="expression" dxfId="95" priority="8">
      <formula>$M$12&gt;40</formula>
    </cfRule>
  </conditionalFormatting>
  <conditionalFormatting sqref="F46">
    <cfRule type="expression" dxfId="94" priority="7">
      <formula>$F$46&gt;100</formula>
    </cfRule>
  </conditionalFormatting>
  <conditionalFormatting sqref="F13">
    <cfRule type="expression" dxfId="93" priority="6">
      <formula>$F$13&gt;100</formula>
    </cfRule>
  </conditionalFormatting>
  <conditionalFormatting sqref="M13">
    <cfRule type="expression" dxfId="92" priority="5">
      <formula>$M$13&gt;100</formula>
    </cfRule>
  </conditionalFormatting>
  <conditionalFormatting sqref="I10">
    <cfRule type="expression" dxfId="91" priority="4">
      <formula>$J$10&gt;0</formula>
    </cfRule>
  </conditionalFormatting>
  <conditionalFormatting sqref="A10">
    <cfRule type="expression" dxfId="90" priority="3">
      <formula>$B$10&gt;0</formula>
    </cfRule>
  </conditionalFormatting>
  <conditionalFormatting sqref="A21">
    <cfRule type="expression" dxfId="89" priority="53">
      <formula>($F$44*$B$5)&gt;100</formula>
    </cfRule>
    <cfRule type="expression" dxfId="88" priority="54">
      <formula>$F$13&gt;100</formula>
    </cfRule>
    <cfRule type="expression" dxfId="87" priority="55">
      <formula>$F$12&gt;40</formula>
    </cfRule>
    <cfRule type="expression" dxfId="86" priority="56">
      <formula>$F$45&gt;40</formula>
    </cfRule>
    <cfRule type="expression" dxfId="85" priority="57">
      <formula>$B$21&gt;0</formula>
    </cfRule>
  </conditionalFormatting>
  <conditionalFormatting sqref="I21">
    <cfRule type="expression" dxfId="84" priority="58">
      <formula>($F$44*$B$5)&gt;100</formula>
    </cfRule>
    <cfRule type="expression" dxfId="83" priority="59">
      <formula>$M$13&gt;100</formula>
    </cfRule>
    <cfRule type="expression" dxfId="82" priority="60">
      <formula>$F$45&gt;40</formula>
    </cfRule>
    <cfRule type="expression" dxfId="81" priority="61">
      <formula>$M$12&gt;40</formula>
    </cfRule>
    <cfRule type="expression" dxfId="80" priority="62">
      <formula>$J$21&gt;0</formula>
    </cfRule>
  </conditionalFormatting>
  <conditionalFormatting sqref="F29">
    <cfRule type="expression" dxfId="79" priority="2">
      <formula>$F$29&gt;1.1</formula>
    </cfRule>
  </conditionalFormatting>
  <conditionalFormatting sqref="M29">
    <cfRule type="expression" dxfId="78" priority="1">
      <formula>$M$29&gt;1.1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9"/>
  <sheetViews>
    <sheetView topLeftCell="B1" workbookViewId="0">
      <selection activeCell="F10" sqref="F10"/>
    </sheetView>
  </sheetViews>
  <sheetFormatPr defaultRowHeight="13.5" x14ac:dyDescent="0.15"/>
  <cols>
    <col min="1" max="1" width="17.125" bestFit="1" customWidth="1"/>
    <col min="2" max="2" width="8.125" customWidth="1"/>
    <col min="3" max="3" width="5.625" customWidth="1"/>
    <col min="4" max="4" width="6.75" customWidth="1"/>
    <col min="5" max="5" width="14" customWidth="1"/>
    <col min="6" max="6" width="6.75" bestFit="1" customWidth="1"/>
    <col min="7" max="7" width="9.625" customWidth="1"/>
    <col min="8" max="8" width="2.625" customWidth="1"/>
    <col min="9" max="9" width="16" bestFit="1" customWidth="1"/>
    <col min="10" max="10" width="8.25" customWidth="1"/>
    <col min="11" max="11" width="8.75" customWidth="1"/>
    <col min="12" max="12" width="17.125" bestFit="1" customWidth="1"/>
    <col min="13" max="13" width="5.5" bestFit="1" customWidth="1"/>
    <col min="14" max="14" width="9.5" customWidth="1"/>
    <col min="15" max="16" width="6.75" bestFit="1" customWidth="1"/>
    <col min="17" max="17" width="17.125" bestFit="1" customWidth="1"/>
    <col min="18" max="18" width="4.5" bestFit="1" customWidth="1"/>
    <col min="19" max="23" width="6.75" bestFit="1" customWidth="1"/>
    <col min="24" max="24" width="6.5" bestFit="1" customWidth="1"/>
    <col min="25" max="25" width="7.625" bestFit="1" customWidth="1"/>
  </cols>
  <sheetData>
    <row r="1" spans="1:25" x14ac:dyDescent="0.15">
      <c r="A1" s="1"/>
      <c r="B1" t="s">
        <v>62</v>
      </c>
    </row>
    <row r="2" spans="1:25" x14ac:dyDescent="0.15">
      <c r="A2" s="13"/>
      <c r="B2" t="s">
        <v>63</v>
      </c>
    </row>
    <row r="4" spans="1:25" ht="14.25" thickBot="1" x14ac:dyDescent="0.2">
      <c r="A4" s="4"/>
      <c r="B4" s="4"/>
      <c r="C4" s="4"/>
      <c r="D4" s="4"/>
      <c r="E4" s="4"/>
      <c r="F4" s="4"/>
      <c r="G4" s="4"/>
      <c r="I4" s="4"/>
      <c r="J4" s="4"/>
      <c r="K4" s="4"/>
    </row>
    <row r="5" spans="1:25" ht="14.25" thickBot="1" x14ac:dyDescent="0.2">
      <c r="A5" s="103" t="s">
        <v>26</v>
      </c>
      <c r="B5" s="89">
        <v>12</v>
      </c>
      <c r="C5" s="43" t="s">
        <v>111</v>
      </c>
      <c r="D5" s="4"/>
      <c r="E5" s="4"/>
      <c r="F5" s="4"/>
      <c r="G5" s="4"/>
      <c r="I5" s="4"/>
      <c r="J5" s="4"/>
      <c r="K5" s="4"/>
      <c r="Q5" t="s">
        <v>130</v>
      </c>
    </row>
    <row r="6" spans="1:25" ht="14.25" thickBot="1" x14ac:dyDescent="0.2">
      <c r="A6" s="4"/>
      <c r="C6" s="4"/>
      <c r="Q6" s="4"/>
      <c r="R6" s="4" t="s">
        <v>125</v>
      </c>
      <c r="S6" s="4" t="s">
        <v>124</v>
      </c>
      <c r="T6" s="4" t="s">
        <v>124</v>
      </c>
      <c r="U6" s="4" t="s">
        <v>124</v>
      </c>
      <c r="V6" s="4" t="s">
        <v>124</v>
      </c>
      <c r="W6" s="4" t="s">
        <v>124</v>
      </c>
      <c r="X6" s="4" t="s">
        <v>128</v>
      </c>
      <c r="Y6" s="4" t="s">
        <v>125</v>
      </c>
    </row>
    <row r="7" spans="1:25" x14ac:dyDescent="0.15">
      <c r="A7" s="19" t="s">
        <v>113</v>
      </c>
      <c r="B7" s="20"/>
      <c r="C7" s="20"/>
      <c r="D7" s="20"/>
      <c r="E7" s="72" t="s">
        <v>127</v>
      </c>
      <c r="F7" s="20"/>
      <c r="G7" s="21"/>
      <c r="I7" s="19" t="s">
        <v>116</v>
      </c>
      <c r="J7" s="20"/>
      <c r="K7" s="20"/>
      <c r="L7" s="72" t="s">
        <v>131</v>
      </c>
      <c r="M7" s="20"/>
      <c r="N7" s="21"/>
      <c r="R7" t="s">
        <v>121</v>
      </c>
      <c r="S7" t="s">
        <v>14</v>
      </c>
      <c r="T7" t="s">
        <v>15</v>
      </c>
      <c r="U7" t="s">
        <v>16</v>
      </c>
      <c r="V7" t="s">
        <v>123</v>
      </c>
      <c r="W7" t="s">
        <v>33</v>
      </c>
      <c r="X7" t="s">
        <v>32</v>
      </c>
      <c r="Y7" t="s">
        <v>31</v>
      </c>
    </row>
    <row r="8" spans="1:25" x14ac:dyDescent="0.15">
      <c r="A8" s="93" t="s">
        <v>97</v>
      </c>
      <c r="B8" s="90">
        <v>0</v>
      </c>
      <c r="C8" s="37" t="s">
        <v>21</v>
      </c>
      <c r="D8" s="37"/>
      <c r="E8" s="96" t="s">
        <v>13</v>
      </c>
      <c r="F8" s="16">
        <f>(B8*R8+B9*R9+B10*R10+B11*R11+B12*R12+B13*R13+B14*R14+B15*R15+B16*R16)/1000/B27*100</f>
        <v>11.538461538461538</v>
      </c>
      <c r="G8" s="33" t="s">
        <v>135</v>
      </c>
      <c r="I8" s="93" t="s">
        <v>97</v>
      </c>
      <c r="J8" s="90">
        <v>0</v>
      </c>
      <c r="K8" s="37" t="s">
        <v>21</v>
      </c>
      <c r="L8" s="96" t="s">
        <v>13</v>
      </c>
      <c r="M8" s="16">
        <f>(J8*R8+J9*R9+J10*R10+J11*R11+J12*R12+J13*R13+J14*R14+J15*R15+J16*R16)/1000/J27*100</f>
        <v>13.226762114537447</v>
      </c>
      <c r="N8" s="33" t="s">
        <v>135</v>
      </c>
      <c r="Q8" t="s">
        <v>97</v>
      </c>
      <c r="R8">
        <v>50</v>
      </c>
      <c r="S8">
        <v>130</v>
      </c>
      <c r="T8">
        <v>4</v>
      </c>
      <c r="U8">
        <v>109</v>
      </c>
      <c r="V8">
        <v>3</v>
      </c>
    </row>
    <row r="9" spans="1:25" x14ac:dyDescent="0.15">
      <c r="A9" s="93" t="s">
        <v>152</v>
      </c>
      <c r="B9" s="90">
        <v>0</v>
      </c>
      <c r="C9" s="37" t="s">
        <v>21</v>
      </c>
      <c r="D9" s="37"/>
      <c r="E9" s="97" t="s">
        <v>30</v>
      </c>
      <c r="F9" s="17">
        <f>SUM(B8*R8+B9*R9+B10*R10+B11*R11+B12*R12+B13*R13+B14*R14+B15*R15+B16*R16+B17*R17+B18*R18+B19*R19+B20*R20+B21*R21+B22*R22+B23*R23+B24*R24)/B27*B28/60/B5</f>
        <v>5.2884615384615383</v>
      </c>
      <c r="G9" s="33" t="s">
        <v>57</v>
      </c>
      <c r="I9" s="93" t="s">
        <v>152</v>
      </c>
      <c r="J9" s="90">
        <v>0</v>
      </c>
      <c r="K9" s="37" t="s">
        <v>21</v>
      </c>
      <c r="L9" s="97" t="s">
        <v>30</v>
      </c>
      <c r="M9" s="17">
        <f>(J8*R8+J9*R9+J10*R10+J11*R11+J12*R12+J13*R13+J14*R14+J15*R15+J16*R16)/J27*J28/60/B5</f>
        <v>2.2044603524229074</v>
      </c>
      <c r="N9" s="33" t="s">
        <v>57</v>
      </c>
      <c r="Q9" t="s">
        <v>152</v>
      </c>
      <c r="R9">
        <v>26</v>
      </c>
      <c r="S9">
        <v>90</v>
      </c>
      <c r="T9">
        <v>0</v>
      </c>
      <c r="U9">
        <v>70</v>
      </c>
    </row>
    <row r="10" spans="1:25" x14ac:dyDescent="0.15">
      <c r="A10" s="93" t="s">
        <v>98</v>
      </c>
      <c r="B10" s="90">
        <v>0</v>
      </c>
      <c r="C10" s="37" t="s">
        <v>21</v>
      </c>
      <c r="D10" s="37"/>
      <c r="E10" s="96" t="s">
        <v>14</v>
      </c>
      <c r="F10" s="6">
        <f>(B8*S8+B9*S9+B10*S10+B11*S11+B12*S12+B13*S13+B14*S14+B15*S15+B17*S17+B19*S19+B23*S23)/B27</f>
        <v>33.653846153846153</v>
      </c>
      <c r="G10" s="33" t="s">
        <v>124</v>
      </c>
      <c r="I10" s="93" t="s">
        <v>98</v>
      </c>
      <c r="J10" s="90">
        <v>0</v>
      </c>
      <c r="K10" s="37" t="s">
        <v>21</v>
      </c>
      <c r="L10" s="96" t="s">
        <v>14</v>
      </c>
      <c r="M10" s="6">
        <f>(J8*S8+J9*S9+J10*S10+J11*S11+J12*S12+J13*S13+J14*S14+J15*S15+J17*S17+J19*S19+J23*S23)/J27</f>
        <v>55.09493392070484</v>
      </c>
      <c r="N10" s="33" t="s">
        <v>124</v>
      </c>
      <c r="Q10" t="s">
        <v>98</v>
      </c>
      <c r="R10">
        <v>43</v>
      </c>
      <c r="S10">
        <v>35</v>
      </c>
      <c r="T10">
        <v>20</v>
      </c>
      <c r="U10">
        <v>35</v>
      </c>
    </row>
    <row r="11" spans="1:25" x14ac:dyDescent="0.15">
      <c r="A11" s="93" t="s">
        <v>106</v>
      </c>
      <c r="B11" s="90">
        <v>0</v>
      </c>
      <c r="C11" s="37" t="s">
        <v>21</v>
      </c>
      <c r="D11" s="37"/>
      <c r="E11" s="96" t="s">
        <v>15</v>
      </c>
      <c r="F11" s="6">
        <f>(B8*T8+B9*T9+B10*T10+B11*T11+B12*T12+B13*T13+B14*T14+B15*T15+B18*T18)/B27</f>
        <v>19.23076923076923</v>
      </c>
      <c r="G11" s="33" t="s">
        <v>124</v>
      </c>
      <c r="I11" s="93" t="s">
        <v>106</v>
      </c>
      <c r="J11" s="90">
        <v>0</v>
      </c>
      <c r="K11" s="37" t="s">
        <v>21</v>
      </c>
      <c r="L11" s="96" t="s">
        <v>15</v>
      </c>
      <c r="M11" s="6">
        <f>(J8*T8+J9*T9+J10*T10+J11*T11+J12*T12+J13*T13+J14*T14+J15*T15+J18*T18)/J27</f>
        <v>33.017180616740092</v>
      </c>
      <c r="N11" s="33" t="s">
        <v>124</v>
      </c>
      <c r="Q11" t="s">
        <v>106</v>
      </c>
      <c r="R11">
        <v>10</v>
      </c>
      <c r="S11">
        <v>140</v>
      </c>
      <c r="T11">
        <v>4</v>
      </c>
      <c r="U11">
        <v>115</v>
      </c>
      <c r="V11">
        <v>3</v>
      </c>
      <c r="W11">
        <v>2</v>
      </c>
    </row>
    <row r="12" spans="1:25" x14ac:dyDescent="0.15">
      <c r="A12" s="93" t="s">
        <v>99</v>
      </c>
      <c r="B12" s="90">
        <v>500</v>
      </c>
      <c r="C12" s="37" t="s">
        <v>21</v>
      </c>
      <c r="D12" s="37"/>
      <c r="E12" s="96" t="s">
        <v>16</v>
      </c>
      <c r="F12" s="6">
        <f>(B8*U8+B9*U9+B10*U10+B11*U11+B12*U12+B13*U13+B14*U14+B15*U15+B17*U17+B18*U18)/B27</f>
        <v>26.923076923076923</v>
      </c>
      <c r="G12" s="33" t="s">
        <v>124</v>
      </c>
      <c r="I12" s="93" t="s">
        <v>99</v>
      </c>
      <c r="J12" s="90">
        <v>0</v>
      </c>
      <c r="K12" s="37" t="s">
        <v>21</v>
      </c>
      <c r="L12" s="96" t="s">
        <v>16</v>
      </c>
      <c r="M12" s="6">
        <f>(J8*U8+J9*U9+J10*U10+J11*U11+J12*U12+J13*U13+J14*U14+J15*U15+J17*U17+J18*U18)/J27</f>
        <v>54.000991189427303</v>
      </c>
      <c r="N12" s="33" t="s">
        <v>124</v>
      </c>
      <c r="Q12" t="s">
        <v>99</v>
      </c>
      <c r="R12">
        <v>100</v>
      </c>
      <c r="S12">
        <v>35</v>
      </c>
      <c r="T12">
        <v>20</v>
      </c>
      <c r="U12">
        <v>28</v>
      </c>
      <c r="V12">
        <v>5</v>
      </c>
      <c r="W12">
        <v>3</v>
      </c>
    </row>
    <row r="13" spans="1:25" x14ac:dyDescent="0.15">
      <c r="A13" s="93" t="s">
        <v>149</v>
      </c>
      <c r="B13" s="90">
        <v>0</v>
      </c>
      <c r="C13" s="73" t="s">
        <v>21</v>
      </c>
      <c r="D13" s="37"/>
      <c r="E13" s="98" t="s">
        <v>123</v>
      </c>
      <c r="F13" s="13">
        <f>(B8*V8+B9*V9+B11*V11+B12*V12+B13*V13+B14*V14+B15*V15+B22*V22)/B27</f>
        <v>4.8076923076923075</v>
      </c>
      <c r="G13" s="33" t="s">
        <v>124</v>
      </c>
      <c r="I13" s="93" t="s">
        <v>149</v>
      </c>
      <c r="J13" s="90">
        <v>0</v>
      </c>
      <c r="K13" s="73" t="s">
        <v>21</v>
      </c>
      <c r="L13" s="98" t="s">
        <v>123</v>
      </c>
      <c r="M13" s="13">
        <f>(J8*V8+J9*V9+J11*V11+J12*V12+J13*V13+J14*V14+J15*V15+J22*V22)/J27</f>
        <v>9.3482378854625559</v>
      </c>
      <c r="N13" s="33" t="s">
        <v>124</v>
      </c>
      <c r="Q13" t="s">
        <v>149</v>
      </c>
      <c r="R13">
        <v>75</v>
      </c>
      <c r="S13">
        <v>35</v>
      </c>
      <c r="T13">
        <v>20</v>
      </c>
      <c r="U13">
        <v>35</v>
      </c>
      <c r="V13">
        <v>5</v>
      </c>
      <c r="W13">
        <v>5</v>
      </c>
      <c r="X13">
        <v>301</v>
      </c>
      <c r="Y13">
        <v>30</v>
      </c>
    </row>
    <row r="14" spans="1:25" x14ac:dyDescent="0.15">
      <c r="A14" s="93" t="s">
        <v>119</v>
      </c>
      <c r="B14" s="90">
        <v>0</v>
      </c>
      <c r="C14" s="37" t="s">
        <v>21</v>
      </c>
      <c r="D14" s="37"/>
      <c r="E14" s="98" t="s">
        <v>33</v>
      </c>
      <c r="F14" s="13">
        <f>(B11*W11+B12*W12+B13*W13+B14*W14+B15*W15+B24*W24)/B27</f>
        <v>2.8846153846153846</v>
      </c>
      <c r="G14" s="33" t="s">
        <v>124</v>
      </c>
      <c r="I14" s="93" t="s">
        <v>119</v>
      </c>
      <c r="J14" s="90">
        <v>903</v>
      </c>
      <c r="K14" s="37" t="s">
        <v>21</v>
      </c>
      <c r="L14" s="98" t="s">
        <v>33</v>
      </c>
      <c r="M14" s="13">
        <f>(J11*W11+J12*W12+J13*W13+J14*W14+J15*W15+J24*W24)/J27</f>
        <v>11.038876651982378</v>
      </c>
      <c r="N14" s="33" t="s">
        <v>124</v>
      </c>
      <c r="Q14" t="s">
        <v>119</v>
      </c>
      <c r="R14">
        <v>133</v>
      </c>
      <c r="S14">
        <v>55.4</v>
      </c>
      <c r="T14">
        <v>33.200000000000003</v>
      </c>
      <c r="U14">
        <v>54.3</v>
      </c>
      <c r="V14">
        <v>9.4</v>
      </c>
      <c r="W14">
        <v>11.1</v>
      </c>
      <c r="X14">
        <v>277</v>
      </c>
      <c r="Y14">
        <v>22.1</v>
      </c>
    </row>
    <row r="15" spans="1:25" x14ac:dyDescent="0.15">
      <c r="A15" s="93" t="s">
        <v>120</v>
      </c>
      <c r="B15" s="90">
        <v>0</v>
      </c>
      <c r="C15" s="37" t="s">
        <v>21</v>
      </c>
      <c r="D15" s="37"/>
      <c r="E15" s="98" t="s">
        <v>32</v>
      </c>
      <c r="F15" s="13">
        <f>(B13*X13+B14*X14+B15*X15+B23*X23)/B27</f>
        <v>0</v>
      </c>
      <c r="G15" s="33" t="s">
        <v>128</v>
      </c>
      <c r="I15" s="93" t="s">
        <v>120</v>
      </c>
      <c r="J15" s="90">
        <v>0</v>
      </c>
      <c r="K15" s="37" t="s">
        <v>21</v>
      </c>
      <c r="L15" s="98" t="s">
        <v>32</v>
      </c>
      <c r="M15" s="13">
        <f>(J13*X13+J14*X14+J15*X15+J23*X23)/J27</f>
        <v>275.47466960352421</v>
      </c>
      <c r="N15" s="33" t="s">
        <v>128</v>
      </c>
      <c r="Q15" t="s">
        <v>120</v>
      </c>
      <c r="R15">
        <v>175</v>
      </c>
      <c r="S15">
        <v>50</v>
      </c>
      <c r="T15">
        <v>30</v>
      </c>
      <c r="U15">
        <v>49</v>
      </c>
      <c r="V15">
        <v>8.5</v>
      </c>
      <c r="W15">
        <v>10</v>
      </c>
      <c r="X15">
        <v>250</v>
      </c>
      <c r="Y15">
        <v>30</v>
      </c>
    </row>
    <row r="16" spans="1:25" x14ac:dyDescent="0.15">
      <c r="A16" s="93" t="s">
        <v>104</v>
      </c>
      <c r="B16" s="90">
        <v>20</v>
      </c>
      <c r="C16" s="37" t="s">
        <v>21</v>
      </c>
      <c r="D16" s="37"/>
      <c r="E16" s="96" t="s">
        <v>31</v>
      </c>
      <c r="F16" s="6">
        <f>(B13*Y13+B14*Y14+B15*Y15+B19*Y19)/B27</f>
        <v>0</v>
      </c>
      <c r="G16" s="33" t="s">
        <v>125</v>
      </c>
      <c r="I16" s="93" t="s">
        <v>104</v>
      </c>
      <c r="J16" s="90">
        <v>0</v>
      </c>
      <c r="K16" s="37" t="s">
        <v>21</v>
      </c>
      <c r="L16" s="96" t="s">
        <v>31</v>
      </c>
      <c r="M16" s="6">
        <f>(J13*Y13+J14*Y14+J15*Y15+J19*Y19)/J27</f>
        <v>21.978303964757714</v>
      </c>
      <c r="N16" s="33" t="s">
        <v>125</v>
      </c>
      <c r="Q16" t="s">
        <v>104</v>
      </c>
      <c r="R16">
        <v>500</v>
      </c>
    </row>
    <row r="17" spans="1:25" x14ac:dyDescent="0.15">
      <c r="A17" s="93" t="s">
        <v>88</v>
      </c>
      <c r="B17" s="90">
        <v>0</v>
      </c>
      <c r="C17" s="37" t="s">
        <v>21</v>
      </c>
      <c r="D17" s="37"/>
      <c r="G17" s="33"/>
      <c r="I17" s="93" t="s">
        <v>88</v>
      </c>
      <c r="J17" s="90">
        <v>0</v>
      </c>
      <c r="K17" s="37" t="s">
        <v>21</v>
      </c>
      <c r="N17" s="33"/>
      <c r="Q17" t="s">
        <v>88</v>
      </c>
      <c r="S17">
        <v>1700</v>
      </c>
      <c r="U17">
        <v>1700</v>
      </c>
    </row>
    <row r="18" spans="1:25" x14ac:dyDescent="0.15">
      <c r="A18" s="93" t="s">
        <v>147</v>
      </c>
      <c r="B18" s="90">
        <v>0</v>
      </c>
      <c r="C18" s="73" t="s">
        <v>21</v>
      </c>
      <c r="D18" s="37"/>
      <c r="E18" s="96"/>
      <c r="F18" s="38"/>
      <c r="G18" s="33"/>
      <c r="I18" s="93" t="s">
        <v>147</v>
      </c>
      <c r="J18" s="90">
        <v>0</v>
      </c>
      <c r="K18" s="73" t="s">
        <v>21</v>
      </c>
      <c r="L18" s="96"/>
      <c r="M18" s="38"/>
      <c r="N18" s="33"/>
      <c r="Q18" t="s">
        <v>146</v>
      </c>
      <c r="T18">
        <v>1000</v>
      </c>
      <c r="U18">
        <v>1000</v>
      </c>
    </row>
    <row r="19" spans="1:25" x14ac:dyDescent="0.15">
      <c r="A19" s="93" t="s">
        <v>105</v>
      </c>
      <c r="B19" s="90">
        <v>0</v>
      </c>
      <c r="C19" s="37" t="s">
        <v>21</v>
      </c>
      <c r="D19" s="37"/>
      <c r="E19" s="37"/>
      <c r="F19" s="37"/>
      <c r="G19" s="24"/>
      <c r="I19" s="93" t="s">
        <v>105</v>
      </c>
      <c r="J19" s="90">
        <v>0</v>
      </c>
      <c r="K19" s="37" t="s">
        <v>21</v>
      </c>
      <c r="L19" s="37"/>
      <c r="M19" s="37"/>
      <c r="N19" s="24"/>
      <c r="Q19" t="s">
        <v>105</v>
      </c>
      <c r="S19">
        <v>3</v>
      </c>
      <c r="Y19">
        <v>76</v>
      </c>
    </row>
    <row r="20" spans="1:25" x14ac:dyDescent="0.15">
      <c r="A20" s="93" t="s">
        <v>7</v>
      </c>
      <c r="B20" s="90">
        <v>0</v>
      </c>
      <c r="C20" s="37" t="s">
        <v>145</v>
      </c>
      <c r="D20" s="37"/>
      <c r="E20" s="37"/>
      <c r="F20" s="37"/>
      <c r="G20" s="24"/>
      <c r="I20" s="93" t="s">
        <v>7</v>
      </c>
      <c r="J20" s="90">
        <v>5</v>
      </c>
      <c r="K20" s="37" t="s">
        <v>144</v>
      </c>
      <c r="L20" s="37"/>
      <c r="M20" s="37"/>
      <c r="N20" s="24"/>
      <c r="Q20" t="s">
        <v>7</v>
      </c>
    </row>
    <row r="21" spans="1:25" x14ac:dyDescent="0.15">
      <c r="A21" s="93" t="s">
        <v>8</v>
      </c>
      <c r="B21" s="90">
        <v>0</v>
      </c>
      <c r="C21" s="37" t="s">
        <v>21</v>
      </c>
      <c r="D21" s="37"/>
      <c r="E21" s="37"/>
      <c r="F21" s="37"/>
      <c r="G21" s="24"/>
      <c r="I21" s="93" t="s">
        <v>8</v>
      </c>
      <c r="J21" s="90">
        <v>0</v>
      </c>
      <c r="K21" s="37" t="s">
        <v>21</v>
      </c>
      <c r="L21" s="37"/>
      <c r="M21" s="37"/>
      <c r="N21" s="24"/>
      <c r="Q21" t="s">
        <v>8</v>
      </c>
    </row>
    <row r="22" spans="1:25" x14ac:dyDescent="0.15">
      <c r="A22" s="93" t="s">
        <v>4</v>
      </c>
      <c r="B22" s="90">
        <v>0</v>
      </c>
      <c r="C22" s="37" t="s">
        <v>21</v>
      </c>
      <c r="D22" s="37"/>
      <c r="E22" s="37"/>
      <c r="F22" s="37"/>
      <c r="G22" s="24"/>
      <c r="I22" s="93" t="s">
        <v>4</v>
      </c>
      <c r="J22" s="90">
        <v>0</v>
      </c>
      <c r="K22" s="37" t="s">
        <v>21</v>
      </c>
      <c r="L22" s="37"/>
      <c r="M22" s="37"/>
      <c r="N22" s="24"/>
      <c r="Q22" t="s">
        <v>4</v>
      </c>
      <c r="V22">
        <v>390</v>
      </c>
    </row>
    <row r="23" spans="1:25" x14ac:dyDescent="0.15">
      <c r="A23" s="93" t="s">
        <v>102</v>
      </c>
      <c r="B23" s="90">
        <v>0</v>
      </c>
      <c r="C23" s="37" t="s">
        <v>21</v>
      </c>
      <c r="D23" s="37"/>
      <c r="E23" s="37"/>
      <c r="F23" s="37"/>
      <c r="G23" s="24"/>
      <c r="I23" s="93" t="s">
        <v>102</v>
      </c>
      <c r="J23" s="90">
        <v>0</v>
      </c>
      <c r="K23" s="37" t="s">
        <v>21</v>
      </c>
      <c r="L23" s="37"/>
      <c r="M23" s="37"/>
      <c r="N23" s="24"/>
      <c r="Q23" t="s">
        <v>102</v>
      </c>
      <c r="S23">
        <v>750</v>
      </c>
      <c r="X23">
        <v>15500</v>
      </c>
    </row>
    <row r="24" spans="1:25" x14ac:dyDescent="0.15">
      <c r="A24" s="93" t="s">
        <v>103</v>
      </c>
      <c r="B24" s="90">
        <v>0</v>
      </c>
      <c r="C24" s="37" t="s">
        <v>21</v>
      </c>
      <c r="D24" s="37"/>
      <c r="E24" s="37"/>
      <c r="F24" s="37"/>
      <c r="G24" s="24"/>
      <c r="I24" s="93" t="s">
        <v>103</v>
      </c>
      <c r="J24" s="90">
        <v>0</v>
      </c>
      <c r="K24" s="37" t="s">
        <v>21</v>
      </c>
      <c r="L24" s="37"/>
      <c r="M24" s="37"/>
      <c r="N24" s="24"/>
      <c r="Q24" t="s">
        <v>103</v>
      </c>
      <c r="W24">
        <v>1000</v>
      </c>
    </row>
    <row r="25" spans="1:25" x14ac:dyDescent="0.15">
      <c r="A25" s="93" t="s">
        <v>9</v>
      </c>
      <c r="B25" s="90">
        <v>0</v>
      </c>
      <c r="C25" s="37" t="s">
        <v>21</v>
      </c>
      <c r="D25" s="37"/>
      <c r="E25" s="37"/>
      <c r="F25" s="37"/>
      <c r="G25" s="24"/>
      <c r="I25" s="93" t="s">
        <v>9</v>
      </c>
      <c r="J25" s="90">
        <v>0</v>
      </c>
      <c r="K25" s="37" t="s">
        <v>21</v>
      </c>
      <c r="L25" s="37"/>
      <c r="M25" s="37"/>
      <c r="N25" s="24"/>
    </row>
    <row r="26" spans="1:25" x14ac:dyDescent="0.15">
      <c r="A26" s="93" t="s">
        <v>37</v>
      </c>
      <c r="B26" s="90">
        <v>0</v>
      </c>
      <c r="C26" s="37" t="s">
        <v>21</v>
      </c>
      <c r="D26" s="37"/>
      <c r="E26" s="37"/>
      <c r="F26" s="37"/>
      <c r="G26" s="24"/>
      <c r="I26" s="93" t="s">
        <v>37</v>
      </c>
      <c r="J26" s="90">
        <v>0</v>
      </c>
      <c r="K26" s="37" t="s">
        <v>21</v>
      </c>
      <c r="L26" s="37"/>
      <c r="M26" s="37"/>
      <c r="N26" s="24"/>
    </row>
    <row r="27" spans="1:25" x14ac:dyDescent="0.15">
      <c r="A27" s="25" t="s">
        <v>12</v>
      </c>
      <c r="B27" s="6">
        <f>SUM(B8:B26)</f>
        <v>520</v>
      </c>
      <c r="C27" s="37" t="s">
        <v>21</v>
      </c>
      <c r="D27" s="37"/>
      <c r="E27" s="37"/>
      <c r="F27" s="37"/>
      <c r="G27" s="24"/>
      <c r="I27" s="25" t="s">
        <v>12</v>
      </c>
      <c r="J27" s="6">
        <f>SUM(J8:J26)</f>
        <v>908</v>
      </c>
      <c r="K27" s="37" t="s">
        <v>21</v>
      </c>
      <c r="L27" s="37"/>
      <c r="M27" s="37"/>
      <c r="N27" s="24"/>
      <c r="Q27" t="s">
        <v>153</v>
      </c>
    </row>
    <row r="28" spans="1:25" ht="14.25" thickBot="1" x14ac:dyDescent="0.2">
      <c r="A28" s="26" t="s">
        <v>114</v>
      </c>
      <c r="B28" s="91">
        <v>33</v>
      </c>
      <c r="C28" s="39" t="s">
        <v>23</v>
      </c>
      <c r="D28" s="39"/>
      <c r="E28" s="39"/>
      <c r="F28" s="39"/>
      <c r="G28" s="28"/>
      <c r="I28" s="26" t="s">
        <v>114</v>
      </c>
      <c r="J28" s="91">
        <v>12</v>
      </c>
      <c r="K28" s="39" t="s">
        <v>23</v>
      </c>
      <c r="L28" s="39"/>
      <c r="M28" s="39"/>
      <c r="N28" s="28"/>
    </row>
    <row r="29" spans="1:25" ht="14.25" thickBot="1" x14ac:dyDescent="0.2"/>
    <row r="30" spans="1:25" x14ac:dyDescent="0.15">
      <c r="A30" s="29" t="s">
        <v>17</v>
      </c>
      <c r="B30" s="30"/>
      <c r="C30" s="30"/>
      <c r="D30" s="30"/>
      <c r="E30" s="30"/>
      <c r="F30" s="30"/>
      <c r="G30" s="31"/>
      <c r="H30" s="4"/>
      <c r="I30" s="88" t="s">
        <v>112</v>
      </c>
      <c r="J30" s="69" t="s">
        <v>48</v>
      </c>
      <c r="K30" s="111" t="s">
        <v>49</v>
      </c>
    </row>
    <row r="31" spans="1:25" x14ac:dyDescent="0.15">
      <c r="A31" s="99" t="s">
        <v>126</v>
      </c>
      <c r="B31" s="6">
        <f>B32*B33</f>
        <v>25</v>
      </c>
      <c r="C31" s="38" t="s">
        <v>21</v>
      </c>
      <c r="D31" s="37"/>
      <c r="E31" s="38" t="s">
        <v>137</v>
      </c>
      <c r="F31" s="38"/>
      <c r="G31" s="33"/>
      <c r="I31" s="101" t="s">
        <v>45</v>
      </c>
      <c r="J31" s="70">
        <f>B39</f>
        <v>0.52747929515418512</v>
      </c>
      <c r="K31" s="112">
        <f>J31*4/B37</f>
        <v>4.3042714898819799E-2</v>
      </c>
    </row>
    <row r="32" spans="1:25" x14ac:dyDescent="0.15">
      <c r="A32" s="99" t="s">
        <v>19</v>
      </c>
      <c r="B32" s="90">
        <v>5</v>
      </c>
      <c r="C32" s="38" t="s">
        <v>24</v>
      </c>
      <c r="D32" s="37"/>
      <c r="E32" s="38" t="s">
        <v>140</v>
      </c>
      <c r="F32" s="38"/>
      <c r="G32" s="33"/>
      <c r="I32" s="101" t="s">
        <v>46</v>
      </c>
      <c r="J32" s="70">
        <f>J39</f>
        <v>0.41666666666666669</v>
      </c>
      <c r="K32" s="112">
        <f>J32*9/B37</f>
        <v>7.6500718773896692E-2</v>
      </c>
    </row>
    <row r="33" spans="1:11" ht="14.25" thickBot="1" x14ac:dyDescent="0.2">
      <c r="A33" s="100" t="s">
        <v>20</v>
      </c>
      <c r="B33" s="92">
        <v>5</v>
      </c>
      <c r="C33" s="40" t="s">
        <v>25</v>
      </c>
      <c r="D33" s="40"/>
      <c r="E33" s="40" t="s">
        <v>141</v>
      </c>
      <c r="F33" s="40"/>
      <c r="G33" s="36"/>
      <c r="I33" s="102" t="s">
        <v>47</v>
      </c>
      <c r="J33" s="71">
        <f>B38*60*24/1000</f>
        <v>10.789807522873602</v>
      </c>
      <c r="K33" s="113">
        <f>J33*4/B37</f>
        <v>0.88045656632728353</v>
      </c>
    </row>
    <row r="34" spans="1:11" ht="14.25" thickBot="1" x14ac:dyDescent="0.2"/>
    <row r="35" spans="1:11" x14ac:dyDescent="0.15">
      <c r="A35" s="82" t="s">
        <v>143</v>
      </c>
      <c r="B35" s="83"/>
      <c r="C35" s="83"/>
      <c r="D35" s="83"/>
      <c r="E35" s="104"/>
      <c r="F35" s="83"/>
      <c r="G35" s="83"/>
      <c r="H35" s="83"/>
      <c r="I35" s="104"/>
      <c r="J35" s="83"/>
      <c r="K35" s="84"/>
    </row>
    <row r="36" spans="1:11" x14ac:dyDescent="0.15">
      <c r="A36" s="94" t="s">
        <v>117</v>
      </c>
      <c r="B36" s="47">
        <f>B28*24+J28*24+B31</f>
        <v>1105</v>
      </c>
      <c r="C36" s="45" t="s">
        <v>118</v>
      </c>
      <c r="D36" s="45"/>
      <c r="E36" s="105" t="s">
        <v>123</v>
      </c>
      <c r="F36" s="50">
        <f>F13/1000*B28*24/B5+M13/1000*J28*24/B5</f>
        <v>0.54166540155879361</v>
      </c>
      <c r="G36" s="81" t="s">
        <v>59</v>
      </c>
      <c r="H36" s="45"/>
      <c r="I36" s="105" t="s">
        <v>7</v>
      </c>
      <c r="J36" s="49">
        <f>B20/B27*B28*24/B5+J20/J27*J28*24/B5</f>
        <v>0.13215859030837004</v>
      </c>
      <c r="K36" s="110" t="s">
        <v>55</v>
      </c>
    </row>
    <row r="37" spans="1:11" x14ac:dyDescent="0.15">
      <c r="A37" s="94" t="s">
        <v>28</v>
      </c>
      <c r="B37" s="48">
        <f>B38/1000*60*24*4+B39*4+J39*9</f>
        <v>49.019147272111148</v>
      </c>
      <c r="C37" s="81" t="s">
        <v>56</v>
      </c>
      <c r="D37" s="45"/>
      <c r="E37" s="105" t="s">
        <v>4</v>
      </c>
      <c r="F37" s="44">
        <f>B22/B27*B28*24/B5+J22/J27*J28*24/B5</f>
        <v>0</v>
      </c>
      <c r="G37" s="81" t="s">
        <v>55</v>
      </c>
      <c r="H37" s="45"/>
      <c r="I37" s="105" t="s">
        <v>8</v>
      </c>
      <c r="J37" s="49">
        <f>B21/B27*B28*24/B5+J21/J27*J28*24/B5</f>
        <v>0</v>
      </c>
      <c r="K37" s="110" t="s">
        <v>55</v>
      </c>
    </row>
    <row r="38" spans="1:11" x14ac:dyDescent="0.15">
      <c r="A38" s="94" t="s">
        <v>30</v>
      </c>
      <c r="B38" s="44">
        <f>F9+M9</f>
        <v>7.4929218908844462</v>
      </c>
      <c r="C38" s="81" t="s">
        <v>57</v>
      </c>
      <c r="D38" s="45"/>
      <c r="E38" s="105" t="s">
        <v>32</v>
      </c>
      <c r="F38" s="51">
        <f>F15/1000*B28*24/B5</f>
        <v>0</v>
      </c>
      <c r="G38" s="81" t="s">
        <v>136</v>
      </c>
      <c r="H38" s="45"/>
      <c r="I38" s="107"/>
      <c r="J38" s="45"/>
      <c r="K38" s="46"/>
    </row>
    <row r="39" spans="1:11" x14ac:dyDescent="0.15">
      <c r="A39" s="94" t="s">
        <v>31</v>
      </c>
      <c r="B39" s="49">
        <f>F16/1000*B28*24/B5+M16/1000*J28*24/B5</f>
        <v>0.52747929515418512</v>
      </c>
      <c r="C39" s="81" t="s">
        <v>48</v>
      </c>
      <c r="D39" s="45"/>
      <c r="E39" s="105" t="s">
        <v>132</v>
      </c>
      <c r="F39" s="44">
        <f>B23/B27*B28*24/B5+J23/J27*J28*24/B5</f>
        <v>0</v>
      </c>
      <c r="G39" s="81" t="s">
        <v>55</v>
      </c>
      <c r="H39" s="45"/>
      <c r="I39" s="105" t="s">
        <v>34</v>
      </c>
      <c r="J39" s="44">
        <f>B31/5/B5</f>
        <v>0.41666666666666669</v>
      </c>
      <c r="K39" s="110" t="s">
        <v>48</v>
      </c>
    </row>
    <row r="40" spans="1:11" x14ac:dyDescent="0.15">
      <c r="A40" s="94" t="s">
        <v>14</v>
      </c>
      <c r="B40" s="44">
        <f>F10/1000*B28*24/B5+M10/1000*J28*24/B5</f>
        <v>3.5434322602507624</v>
      </c>
      <c r="C40" s="81" t="s">
        <v>59</v>
      </c>
      <c r="D40" s="45"/>
      <c r="E40" s="105" t="s">
        <v>33</v>
      </c>
      <c r="F40" s="51">
        <f>F14/1000*B28*24/B5</f>
        <v>0.1903846153846154</v>
      </c>
      <c r="G40" s="81" t="s">
        <v>59</v>
      </c>
      <c r="H40" s="45"/>
      <c r="I40" s="108"/>
      <c r="J40" s="45"/>
      <c r="K40" s="46"/>
    </row>
    <row r="41" spans="1:11" ht="14.25" thickBot="1" x14ac:dyDescent="0.2">
      <c r="A41" s="95" t="s">
        <v>15</v>
      </c>
      <c r="B41" s="52">
        <f>F11/1000*B28*24/B5+M11/1000*J28*24/B5</f>
        <v>2.0616431040325316</v>
      </c>
      <c r="C41" s="85" t="s">
        <v>59</v>
      </c>
      <c r="D41" s="86"/>
      <c r="E41" s="106" t="s">
        <v>103</v>
      </c>
      <c r="F41" s="52">
        <f>B24/B27*B28*24/B5+J24/J27*J28*24/B5</f>
        <v>0</v>
      </c>
      <c r="G41" s="85" t="s">
        <v>55</v>
      </c>
      <c r="H41" s="86"/>
      <c r="I41" s="109"/>
      <c r="J41" s="86"/>
      <c r="K41" s="87"/>
    </row>
    <row r="44" spans="1:11" x14ac:dyDescent="0.15">
      <c r="A44" t="s">
        <v>142</v>
      </c>
    </row>
    <row r="53" spans="1:8" x14ac:dyDescent="0.15">
      <c r="H53" s="4"/>
    </row>
    <row r="54" spans="1:8" x14ac:dyDescent="0.15">
      <c r="H54" s="4"/>
    </row>
    <row r="55" spans="1:8" x14ac:dyDescent="0.15">
      <c r="H55" s="4"/>
    </row>
    <row r="56" spans="1:8" x14ac:dyDescent="0.15">
      <c r="H56" s="4"/>
    </row>
    <row r="59" spans="1:8" x14ac:dyDescent="0.15">
      <c r="A59" s="11"/>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74"/>
  <sheetViews>
    <sheetView workbookViewId="0">
      <selection activeCell="A74" sqref="A74"/>
    </sheetView>
  </sheetViews>
  <sheetFormatPr defaultRowHeight="13.5" x14ac:dyDescent="0.15"/>
  <cols>
    <col min="1" max="1" width="33.125" customWidth="1"/>
    <col min="2" max="2" width="7.875" customWidth="1"/>
    <col min="3" max="3" width="11.25" customWidth="1"/>
    <col min="4" max="4" width="4.75" customWidth="1"/>
    <col min="5" max="5" width="17.25" bestFit="1" customWidth="1"/>
    <col min="6" max="6" width="8.75" bestFit="1" customWidth="1"/>
    <col min="7" max="7" width="11.25" bestFit="1" customWidth="1"/>
    <col min="9" max="9" width="12.375" bestFit="1" customWidth="1"/>
    <col min="10" max="10" width="9.25" customWidth="1"/>
    <col min="11" max="11" width="5.875" bestFit="1" customWidth="1"/>
  </cols>
  <sheetData>
    <row r="1" spans="1:12" x14ac:dyDescent="0.15">
      <c r="A1" s="4" t="s">
        <v>0</v>
      </c>
      <c r="B1" s="4"/>
      <c r="C1" s="4"/>
      <c r="D1" s="4"/>
      <c r="E1" s="4"/>
      <c r="F1" s="4"/>
      <c r="G1" s="4"/>
      <c r="H1" s="4"/>
      <c r="I1" s="4"/>
      <c r="J1" s="4"/>
      <c r="K1" s="4"/>
      <c r="L1" s="4"/>
    </row>
    <row r="2" spans="1:12" x14ac:dyDescent="0.15">
      <c r="A2" s="18" t="s">
        <v>1</v>
      </c>
      <c r="B2" s="4"/>
      <c r="C2" s="4"/>
      <c r="D2" s="4"/>
      <c r="E2" s="4" t="s">
        <v>26</v>
      </c>
      <c r="F2" s="5">
        <v>1000</v>
      </c>
      <c r="G2" s="4" t="s">
        <v>54</v>
      </c>
      <c r="H2" s="4"/>
      <c r="I2" s="4"/>
      <c r="J2" s="4"/>
      <c r="K2" s="4"/>
      <c r="L2" s="4"/>
    </row>
    <row r="3" spans="1:12" x14ac:dyDescent="0.15">
      <c r="A3" s="4" t="s">
        <v>2</v>
      </c>
      <c r="B3" s="5">
        <v>0</v>
      </c>
      <c r="C3" s="4" t="s">
        <v>21</v>
      </c>
      <c r="D3" s="4"/>
      <c r="E3" s="4" t="s">
        <v>27</v>
      </c>
      <c r="F3" s="5">
        <v>80</v>
      </c>
      <c r="G3" s="4" t="s">
        <v>55</v>
      </c>
      <c r="H3" s="4"/>
      <c r="I3" s="4"/>
      <c r="J3" s="4"/>
      <c r="K3" s="4"/>
      <c r="L3" s="4"/>
    </row>
    <row r="4" spans="1:12" x14ac:dyDescent="0.15">
      <c r="A4" s="4" t="s">
        <v>3</v>
      </c>
      <c r="B4" s="5">
        <v>10</v>
      </c>
      <c r="C4" s="4" t="s">
        <v>21</v>
      </c>
      <c r="D4" s="4"/>
      <c r="E4" s="4" t="s">
        <v>28</v>
      </c>
      <c r="F4" s="12">
        <f>(F6*60*24/1000+F7)*4+F13*9+F21*G21*0.65*1000/F2</f>
        <v>5.8957575757575755</v>
      </c>
      <c r="G4" s="4" t="s">
        <v>56</v>
      </c>
      <c r="H4" s="4"/>
      <c r="I4" s="4"/>
      <c r="J4" s="4"/>
      <c r="K4" s="4"/>
      <c r="L4" s="4"/>
    </row>
    <row r="5" spans="1:12" x14ac:dyDescent="0.15">
      <c r="A5" s="4" t="s">
        <v>88</v>
      </c>
      <c r="B5" s="5">
        <v>0</v>
      </c>
      <c r="C5" s="4" t="s">
        <v>21</v>
      </c>
      <c r="D5" s="4"/>
      <c r="E5" s="4" t="s">
        <v>29</v>
      </c>
      <c r="F5" s="6">
        <f>IF(F2="",0,(F3*F2/1000-F21*G21-B22-F18*24-J17*(24-B24)-J23*24)/24)</f>
        <v>3.3333333333333335</v>
      </c>
      <c r="G5" s="4" t="s">
        <v>24</v>
      </c>
      <c r="H5" s="4"/>
      <c r="I5" s="4"/>
      <c r="J5" s="4"/>
      <c r="K5" s="4"/>
      <c r="L5" s="4"/>
    </row>
    <row r="6" spans="1:12" x14ac:dyDescent="0.15">
      <c r="A6" s="4" t="s">
        <v>4</v>
      </c>
      <c r="B6" s="5">
        <v>3</v>
      </c>
      <c r="C6" s="4" t="s">
        <v>21</v>
      </c>
      <c r="D6" s="4"/>
      <c r="E6" s="4" t="s">
        <v>30</v>
      </c>
      <c r="F6" s="6">
        <f>(F5*B16*24+F18*0.1*(24-B24))/24*1000*1000/(60*F2)</f>
        <v>0</v>
      </c>
      <c r="G6" s="4" t="s">
        <v>57</v>
      </c>
      <c r="H6" s="4"/>
      <c r="I6" s="4"/>
      <c r="J6" s="4"/>
      <c r="K6" s="4"/>
      <c r="L6" s="4"/>
    </row>
    <row r="7" spans="1:12" x14ac:dyDescent="0.15">
      <c r="A7" s="4" t="s">
        <v>5</v>
      </c>
      <c r="B7" s="5">
        <v>0</v>
      </c>
      <c r="C7" s="4" t="s">
        <v>21</v>
      </c>
      <c r="D7" s="4"/>
      <c r="E7" s="4" t="s">
        <v>31</v>
      </c>
      <c r="F7" s="8">
        <f>IF(B4="",0,B4*F5*24*0.076*1000/(B14*F2))</f>
        <v>1.4739393939393939</v>
      </c>
      <c r="G7" s="4" t="s">
        <v>58</v>
      </c>
      <c r="H7" s="4"/>
      <c r="I7" s="4"/>
      <c r="J7" s="4"/>
      <c r="K7" s="4"/>
      <c r="L7" s="4"/>
    </row>
    <row r="8" spans="1:12" x14ac:dyDescent="0.15">
      <c r="A8" s="4" t="s">
        <v>6</v>
      </c>
      <c r="B8" s="5">
        <v>0</v>
      </c>
      <c r="C8" s="4" t="s">
        <v>21</v>
      </c>
      <c r="D8" s="4"/>
      <c r="E8" s="4" t="s">
        <v>14</v>
      </c>
      <c r="F8" s="6">
        <f>(B5*1.7+B7*0.75)*F5*24*1000/(B14*F2)+0.154*J17*(24-B24)/F2*1000+0.154*J23*24/F2*1000</f>
        <v>0</v>
      </c>
      <c r="G8" s="4" t="s">
        <v>59</v>
      </c>
      <c r="H8" s="4"/>
      <c r="I8" s="4"/>
      <c r="J8" s="4"/>
      <c r="K8" s="4"/>
      <c r="L8" s="4"/>
    </row>
    <row r="9" spans="1:12" x14ac:dyDescent="0.15">
      <c r="A9" s="4" t="s">
        <v>60</v>
      </c>
      <c r="B9" s="5">
        <v>0.8</v>
      </c>
      <c r="C9" s="4" t="s">
        <v>61</v>
      </c>
      <c r="D9" s="4"/>
      <c r="E9" s="4" t="s">
        <v>64</v>
      </c>
      <c r="F9" s="6">
        <f>IF(B6="",0,B6*F5*24*1000/(B14*F2))</f>
        <v>5.8181818181818183</v>
      </c>
      <c r="G9" s="4" t="s">
        <v>55</v>
      </c>
      <c r="H9" s="4"/>
      <c r="I9" s="4"/>
      <c r="J9" s="4"/>
      <c r="K9" s="4"/>
      <c r="L9" s="4"/>
    </row>
    <row r="10" spans="1:12" x14ac:dyDescent="0.15">
      <c r="A10" s="4" t="s">
        <v>8</v>
      </c>
      <c r="B10" s="15">
        <f>B9/2</f>
        <v>0.4</v>
      </c>
      <c r="C10" s="4" t="s">
        <v>21</v>
      </c>
      <c r="D10" s="4"/>
      <c r="E10" s="4" t="s">
        <v>94</v>
      </c>
      <c r="F10" s="6">
        <f>IF(B7="",0,B7*F5*24*1000/(B14*F2))</f>
        <v>0</v>
      </c>
      <c r="G10" s="4" t="s">
        <v>55</v>
      </c>
      <c r="H10" s="4"/>
      <c r="I10" s="4"/>
      <c r="J10" s="4"/>
      <c r="K10" s="4"/>
      <c r="L10" s="4"/>
    </row>
    <row r="11" spans="1:12" x14ac:dyDescent="0.15">
      <c r="A11" s="4" t="s">
        <v>9</v>
      </c>
      <c r="B11" s="5">
        <v>27</v>
      </c>
      <c r="C11" s="4" t="s">
        <v>21</v>
      </c>
      <c r="D11" s="4"/>
      <c r="E11" s="4" t="s">
        <v>15</v>
      </c>
      <c r="F11" s="6">
        <f>B8*F5*24*1000/(B14*F2)</f>
        <v>0</v>
      </c>
      <c r="G11" s="4" t="s">
        <v>59</v>
      </c>
      <c r="H11" s="4"/>
      <c r="I11" s="4"/>
      <c r="J11" s="4"/>
      <c r="K11" s="4"/>
      <c r="L11" s="4"/>
    </row>
    <row r="12" spans="1:12" x14ac:dyDescent="0.15">
      <c r="A12" s="4" t="s">
        <v>10</v>
      </c>
      <c r="B12" s="5">
        <v>0</v>
      </c>
      <c r="C12" s="4" t="s">
        <v>21</v>
      </c>
      <c r="D12" s="4"/>
      <c r="E12" s="4" t="s">
        <v>33</v>
      </c>
      <c r="F12" s="6">
        <f>B12/B14*24*F5/F2*1000</f>
        <v>0</v>
      </c>
      <c r="G12" s="4" t="s">
        <v>55</v>
      </c>
      <c r="H12" s="4"/>
      <c r="I12" s="4"/>
      <c r="J12" s="4"/>
      <c r="K12" s="4"/>
      <c r="L12" s="4"/>
    </row>
    <row r="13" spans="1:12" x14ac:dyDescent="0.15">
      <c r="A13" s="4" t="s">
        <v>11</v>
      </c>
      <c r="B13" s="3">
        <v>0.05</v>
      </c>
      <c r="C13" s="4" t="s">
        <v>21</v>
      </c>
      <c r="D13" s="4"/>
      <c r="E13" s="4" t="s">
        <v>34</v>
      </c>
      <c r="F13" s="6">
        <f>B22*0.2*1000/F2</f>
        <v>0</v>
      </c>
      <c r="G13" s="4" t="s">
        <v>58</v>
      </c>
      <c r="H13" s="4"/>
      <c r="I13" s="4"/>
      <c r="J13" s="4"/>
      <c r="K13" s="4"/>
      <c r="L13" s="4"/>
    </row>
    <row r="14" spans="1:12" x14ac:dyDescent="0.15">
      <c r="A14" s="4" t="s">
        <v>12</v>
      </c>
      <c r="B14" s="8">
        <f>SUM(B3:B13)</f>
        <v>41.25</v>
      </c>
      <c r="C14" s="4" t="s">
        <v>21</v>
      </c>
      <c r="D14" s="4"/>
      <c r="E14" s="4"/>
      <c r="F14" s="4"/>
      <c r="G14" s="4"/>
      <c r="H14" s="4"/>
      <c r="I14" s="4"/>
      <c r="J14" s="4"/>
      <c r="K14" s="4"/>
      <c r="L14" s="4"/>
    </row>
    <row r="15" spans="1:12" x14ac:dyDescent="0.15">
      <c r="A15" s="4"/>
      <c r="B15" s="4"/>
      <c r="C15" s="4"/>
      <c r="D15" s="4"/>
      <c r="E15" s="18" t="s">
        <v>35</v>
      </c>
      <c r="F15" s="4"/>
      <c r="G15" s="4"/>
      <c r="H15" s="4"/>
      <c r="I15" s="18" t="s">
        <v>50</v>
      </c>
      <c r="J15" s="4" t="s">
        <v>51</v>
      </c>
      <c r="K15" s="4"/>
      <c r="L15" s="4"/>
    </row>
    <row r="16" spans="1:12" x14ac:dyDescent="0.15">
      <c r="A16" s="4" t="s">
        <v>13</v>
      </c>
      <c r="B16" s="9">
        <f>B3*0.5/B14</f>
        <v>0</v>
      </c>
      <c r="C16" s="4"/>
      <c r="D16" s="4"/>
      <c r="E16" s="4" t="s">
        <v>36</v>
      </c>
      <c r="F16" s="5">
        <v>0</v>
      </c>
      <c r="G16" s="4" t="s">
        <v>39</v>
      </c>
      <c r="H16" s="4"/>
      <c r="I16" s="4" t="s">
        <v>52</v>
      </c>
      <c r="J16" s="4">
        <v>20</v>
      </c>
      <c r="K16" s="4" t="s">
        <v>21</v>
      </c>
      <c r="L16" s="4"/>
    </row>
    <row r="17" spans="1:12" x14ac:dyDescent="0.15">
      <c r="A17" s="4" t="s">
        <v>14</v>
      </c>
      <c r="B17" s="6">
        <f>(B5*1.7+B7*0.75)*1000/B14</f>
        <v>0</v>
      </c>
      <c r="C17" s="4" t="s">
        <v>22</v>
      </c>
      <c r="D17" s="4"/>
      <c r="E17" s="4" t="s">
        <v>37</v>
      </c>
      <c r="F17" s="3">
        <v>0</v>
      </c>
      <c r="G17" s="4" t="s">
        <v>21</v>
      </c>
      <c r="H17" s="4"/>
      <c r="I17" s="4" t="s">
        <v>38</v>
      </c>
      <c r="J17" s="5">
        <v>0</v>
      </c>
      <c r="K17" s="4" t="s">
        <v>24</v>
      </c>
      <c r="L17" s="4"/>
    </row>
    <row r="18" spans="1:12" x14ac:dyDescent="0.15">
      <c r="A18" s="4" t="s">
        <v>15</v>
      </c>
      <c r="B18" s="6">
        <f>B8*1000/B14</f>
        <v>0</v>
      </c>
      <c r="C18" s="4" t="s">
        <v>22</v>
      </c>
      <c r="D18" s="4"/>
      <c r="E18" s="4" t="s">
        <v>38</v>
      </c>
      <c r="F18" s="5">
        <v>0</v>
      </c>
      <c r="G18" s="4" t="s">
        <v>24</v>
      </c>
      <c r="H18" s="4"/>
      <c r="I18" s="4"/>
      <c r="J18" s="4"/>
      <c r="K18" s="4"/>
      <c r="L18" s="4"/>
    </row>
    <row r="19" spans="1:12" x14ac:dyDescent="0.15">
      <c r="A19" s="4" t="s">
        <v>16</v>
      </c>
      <c r="B19" s="6">
        <f>B5*1.7*1000/B14</f>
        <v>0</v>
      </c>
      <c r="C19" s="4" t="s">
        <v>22</v>
      </c>
      <c r="D19" s="4"/>
      <c r="E19" s="4"/>
      <c r="F19" s="4"/>
      <c r="G19" s="4"/>
      <c r="H19" s="4"/>
      <c r="I19" s="4"/>
      <c r="J19" s="4"/>
      <c r="K19" s="4"/>
      <c r="L19" s="4"/>
    </row>
    <row r="20" spans="1:12" x14ac:dyDescent="0.15">
      <c r="A20" s="4"/>
      <c r="B20" s="4"/>
      <c r="C20" s="4"/>
      <c r="D20" s="4"/>
      <c r="E20" s="18" t="s">
        <v>40</v>
      </c>
      <c r="F20" s="4" t="s">
        <v>42</v>
      </c>
      <c r="G20" s="4" t="s">
        <v>43</v>
      </c>
      <c r="H20" s="4"/>
      <c r="I20" s="18" t="s">
        <v>53</v>
      </c>
      <c r="J20" s="4"/>
      <c r="K20" s="4"/>
      <c r="L20" s="4"/>
    </row>
    <row r="21" spans="1:12" x14ac:dyDescent="0.15">
      <c r="A21" s="4" t="s">
        <v>17</v>
      </c>
      <c r="B21" s="4"/>
      <c r="C21" s="4"/>
      <c r="D21" s="4"/>
      <c r="E21" s="4" t="s">
        <v>41</v>
      </c>
      <c r="F21" s="5">
        <v>0</v>
      </c>
      <c r="G21" s="10">
        <v>0</v>
      </c>
      <c r="H21" s="4"/>
      <c r="I21" s="4" t="s">
        <v>52</v>
      </c>
      <c r="J21" s="4">
        <v>20</v>
      </c>
      <c r="K21" s="4" t="s">
        <v>21</v>
      </c>
      <c r="L21" s="4"/>
    </row>
    <row r="22" spans="1:12" x14ac:dyDescent="0.15">
      <c r="A22" s="4" t="s">
        <v>18</v>
      </c>
      <c r="B22" s="6">
        <f>B23*B24</f>
        <v>0</v>
      </c>
      <c r="C22" s="4" t="s">
        <v>21</v>
      </c>
      <c r="D22" s="4"/>
      <c r="E22" s="4"/>
      <c r="F22" s="4"/>
      <c r="G22" s="4"/>
      <c r="H22" s="4"/>
      <c r="I22" s="4" t="s">
        <v>37</v>
      </c>
      <c r="J22" s="2">
        <v>0.02</v>
      </c>
      <c r="K22" s="4" t="s">
        <v>21</v>
      </c>
      <c r="L22" s="4"/>
    </row>
    <row r="23" spans="1:12" x14ac:dyDescent="0.15">
      <c r="A23" s="4" t="s">
        <v>19</v>
      </c>
      <c r="B23" s="5">
        <v>0</v>
      </c>
      <c r="C23" s="4" t="s">
        <v>24</v>
      </c>
      <c r="D23" s="4"/>
      <c r="E23" s="4" t="s">
        <v>44</v>
      </c>
      <c r="F23" s="4" t="s">
        <v>48</v>
      </c>
      <c r="G23" s="4" t="s">
        <v>49</v>
      </c>
      <c r="H23" s="4"/>
      <c r="I23" s="4" t="s">
        <v>38</v>
      </c>
      <c r="J23" s="5">
        <v>0</v>
      </c>
      <c r="K23" s="4" t="s">
        <v>23</v>
      </c>
      <c r="L23" s="4"/>
    </row>
    <row r="24" spans="1:12" x14ac:dyDescent="0.15">
      <c r="A24" s="4" t="s">
        <v>20</v>
      </c>
      <c r="B24" s="5">
        <v>0</v>
      </c>
      <c r="C24" s="4" t="s">
        <v>25</v>
      </c>
      <c r="D24" s="4"/>
      <c r="E24" s="4" t="s">
        <v>45</v>
      </c>
      <c r="F24" s="6">
        <f>F7+F21*G21*10*1.1/F2</f>
        <v>1.4739393939393939</v>
      </c>
      <c r="G24" s="7">
        <f>F24*4/F4</f>
        <v>1</v>
      </c>
      <c r="H24" s="4"/>
      <c r="I24" s="4"/>
      <c r="J24" s="4"/>
      <c r="K24" s="4"/>
      <c r="L24" s="4"/>
    </row>
    <row r="25" spans="1:12" x14ac:dyDescent="0.15">
      <c r="A25" s="4" t="s">
        <v>7</v>
      </c>
      <c r="B25" s="8">
        <f>B9*F5*24/B14/F2*1000</f>
        <v>1.5515151515151515</v>
      </c>
      <c r="C25" s="4" t="s">
        <v>65</v>
      </c>
      <c r="D25" s="4"/>
      <c r="E25" s="4" t="s">
        <v>46</v>
      </c>
      <c r="F25" s="6">
        <f>F13+F21*G21*3.5*10/F2</f>
        <v>0</v>
      </c>
      <c r="G25" s="7">
        <f>F25*9/F4</f>
        <v>0</v>
      </c>
      <c r="H25" s="4"/>
      <c r="I25" s="4"/>
      <c r="J25" s="4"/>
      <c r="K25" s="4"/>
      <c r="L25" s="4"/>
    </row>
    <row r="26" spans="1:12" x14ac:dyDescent="0.15">
      <c r="A26" s="4" t="s">
        <v>8</v>
      </c>
      <c r="B26" s="8">
        <f>B10*F5*24/B14/F2*1000</f>
        <v>0.77575757575757576</v>
      </c>
      <c r="C26" s="4" t="s">
        <v>65</v>
      </c>
      <c r="D26" s="4"/>
      <c r="E26" s="4" t="s">
        <v>47</v>
      </c>
      <c r="F26" s="6">
        <f>F6*60*24/1000+F21*G21*7.2*10/F2</f>
        <v>0</v>
      </c>
      <c r="G26" s="7">
        <f>F26*4/F4</f>
        <v>0</v>
      </c>
      <c r="H26" s="4"/>
      <c r="I26" s="4"/>
      <c r="J26" s="4"/>
      <c r="K26" s="4"/>
      <c r="L26" s="4"/>
    </row>
    <row r="27" spans="1:12" x14ac:dyDescent="0.15">
      <c r="A27" s="4"/>
      <c r="B27" s="4"/>
      <c r="C27" s="4"/>
      <c r="D27" s="4"/>
      <c r="E27" s="4"/>
      <c r="F27" s="4"/>
      <c r="G27" s="4"/>
      <c r="H27" s="4"/>
      <c r="I27" s="4"/>
      <c r="J27" s="4"/>
      <c r="K27" s="4"/>
      <c r="L27" s="4"/>
    </row>
    <row r="28" spans="1:12" x14ac:dyDescent="0.15">
      <c r="A28" s="4" t="s">
        <v>89</v>
      </c>
      <c r="B28" s="4"/>
      <c r="C28" s="4"/>
      <c r="D28" s="4"/>
      <c r="E28" s="4"/>
      <c r="F28" s="4"/>
      <c r="G28" s="4"/>
      <c r="H28" s="4"/>
      <c r="I28" s="4"/>
      <c r="J28" s="4"/>
      <c r="K28" s="4"/>
      <c r="L28" s="4"/>
    </row>
    <row r="30" spans="1:12" x14ac:dyDescent="0.15">
      <c r="B30" s="1"/>
      <c r="C30" t="s">
        <v>62</v>
      </c>
    </row>
    <row r="31" spans="1:12" x14ac:dyDescent="0.15">
      <c r="B31" s="13"/>
      <c r="C31" t="s">
        <v>63</v>
      </c>
    </row>
    <row r="32" spans="1:12" x14ac:dyDescent="0.15">
      <c r="A32" s="14" t="s">
        <v>66</v>
      </c>
    </row>
    <row r="33" spans="1:1" x14ac:dyDescent="0.15">
      <c r="A33" t="s">
        <v>82</v>
      </c>
    </row>
    <row r="34" spans="1:1" x14ac:dyDescent="0.15">
      <c r="A34" t="s">
        <v>83</v>
      </c>
    </row>
    <row r="36" spans="1:1" x14ac:dyDescent="0.15">
      <c r="A36" t="s">
        <v>74</v>
      </c>
    </row>
    <row r="38" spans="1:1" x14ac:dyDescent="0.15">
      <c r="A38" t="s">
        <v>75</v>
      </c>
    </row>
    <row r="40" spans="1:1" x14ac:dyDescent="0.15">
      <c r="A40" t="s">
        <v>76</v>
      </c>
    </row>
    <row r="41" spans="1:1" x14ac:dyDescent="0.15">
      <c r="A41" t="s">
        <v>67</v>
      </c>
    </row>
    <row r="42" spans="1:1" x14ac:dyDescent="0.15">
      <c r="A42" t="s">
        <v>68</v>
      </c>
    </row>
    <row r="43" spans="1:1" x14ac:dyDescent="0.15">
      <c r="A43" t="s">
        <v>73</v>
      </c>
    </row>
    <row r="45" spans="1:1" x14ac:dyDescent="0.15">
      <c r="A45" t="s">
        <v>80</v>
      </c>
    </row>
    <row r="46" spans="1:1" x14ac:dyDescent="0.15">
      <c r="A46" t="s">
        <v>81</v>
      </c>
    </row>
    <row r="47" spans="1:1" x14ac:dyDescent="0.15">
      <c r="A47" t="s">
        <v>72</v>
      </c>
    </row>
    <row r="49" spans="1:1" x14ac:dyDescent="0.15">
      <c r="A49" t="s">
        <v>77</v>
      </c>
    </row>
    <row r="50" spans="1:1" x14ac:dyDescent="0.15">
      <c r="A50" t="s">
        <v>70</v>
      </c>
    </row>
    <row r="51" spans="1:1" x14ac:dyDescent="0.15">
      <c r="A51" t="s">
        <v>86</v>
      </c>
    </row>
    <row r="52" spans="1:1" x14ac:dyDescent="0.15">
      <c r="A52" t="s">
        <v>69</v>
      </c>
    </row>
    <row r="53" spans="1:1" x14ac:dyDescent="0.15">
      <c r="A53" t="s">
        <v>71</v>
      </c>
    </row>
    <row r="55" spans="1:1" x14ac:dyDescent="0.15">
      <c r="A55" t="s">
        <v>91</v>
      </c>
    </row>
    <row r="57" spans="1:1" x14ac:dyDescent="0.15">
      <c r="A57" t="s">
        <v>90</v>
      </c>
    </row>
    <row r="59" spans="1:1" x14ac:dyDescent="0.15">
      <c r="A59" t="s">
        <v>96</v>
      </c>
    </row>
    <row r="60" spans="1:1" x14ac:dyDescent="0.15">
      <c r="A60" t="s">
        <v>93</v>
      </c>
    </row>
    <row r="62" spans="1:1" x14ac:dyDescent="0.15">
      <c r="A62" t="s">
        <v>92</v>
      </c>
    </row>
    <row r="64" spans="1:1" x14ac:dyDescent="0.15">
      <c r="A64" t="s">
        <v>78</v>
      </c>
    </row>
    <row r="65" spans="1:1" x14ac:dyDescent="0.15">
      <c r="A65" t="s">
        <v>84</v>
      </c>
    </row>
    <row r="67" spans="1:1" x14ac:dyDescent="0.15">
      <c r="A67" t="s">
        <v>87</v>
      </c>
    </row>
    <row r="69" spans="1:1" x14ac:dyDescent="0.15">
      <c r="A69" t="s">
        <v>85</v>
      </c>
    </row>
    <row r="71" spans="1:1" x14ac:dyDescent="0.15">
      <c r="A71" t="s">
        <v>79</v>
      </c>
    </row>
    <row r="74" spans="1:1" x14ac:dyDescent="0.15">
      <c r="A74" t="s">
        <v>95</v>
      </c>
    </row>
  </sheetData>
  <phoneticPr fontId="1"/>
  <conditionalFormatting sqref="B3">
    <cfRule type="expression" dxfId="77" priority="16">
      <formula>$B$16&gt;14%</formula>
    </cfRule>
  </conditionalFormatting>
  <conditionalFormatting sqref="B4">
    <cfRule type="expression" dxfId="76" priority="15">
      <formula>$B$4&gt;$B$14/2</formula>
    </cfRule>
  </conditionalFormatting>
  <conditionalFormatting sqref="B5">
    <cfRule type="expression" dxfId="75" priority="3">
      <formula>$B$17&gt;150</formula>
    </cfRule>
    <cfRule type="expression" dxfId="74" priority="14">
      <formula>$F$8&gt;4</formula>
    </cfRule>
  </conditionalFormatting>
  <conditionalFormatting sqref="B9">
    <cfRule type="expression" dxfId="73" priority="13">
      <formula>OR($B$25&lt;0.8,$B$25&gt;1)</formula>
    </cfRule>
  </conditionalFormatting>
  <conditionalFormatting sqref="B10">
    <cfRule type="expression" dxfId="72" priority="12">
      <formula>OR($B$26&lt;0.4,$B$26&gt;0.5)</formula>
    </cfRule>
  </conditionalFormatting>
  <conditionalFormatting sqref="B14">
    <cfRule type="expression" dxfId="71" priority="11">
      <formula>OR($B$14&lt;49,$B$14&gt;51)</formula>
    </cfRule>
  </conditionalFormatting>
  <conditionalFormatting sqref="B6">
    <cfRule type="expression" dxfId="70" priority="6">
      <formula>$F$9&gt;4</formula>
    </cfRule>
    <cfRule type="expression" dxfId="69" priority="7">
      <formula>AND($F$9&gt;0,$F$9&lt;2)</formula>
    </cfRule>
    <cfRule type="expression" dxfId="68" priority="10">
      <formula>AND($B$6&gt;0,$B$7&gt;0)</formula>
    </cfRule>
  </conditionalFormatting>
  <conditionalFormatting sqref="B8">
    <cfRule type="expression" dxfId="67" priority="9">
      <formula>$F$11&gt;2</formula>
    </cfRule>
  </conditionalFormatting>
  <conditionalFormatting sqref="B12">
    <cfRule type="expression" dxfId="66" priority="8">
      <formula>AND($B$7&gt;0,$B$12&gt;0)</formula>
    </cfRule>
  </conditionalFormatting>
  <conditionalFormatting sqref="B7">
    <cfRule type="expression" dxfId="65" priority="1">
      <formula>$F$10&gt;2.6</formula>
    </cfRule>
    <cfRule type="expression" dxfId="64" priority="2">
      <formula>AND($F$10&gt;0,$F$10&lt;1.3)</formula>
    </cfRule>
    <cfRule type="expression" dxfId="63" priority="4">
      <formula>AND($B$8&gt;0,$B$12&gt;0)</formula>
    </cfRule>
    <cfRule type="expression" dxfId="62" priority="5">
      <formula>AND($B$7&gt;0,$B$6&gt;0)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U57"/>
  <sheetViews>
    <sheetView workbookViewId="0">
      <selection activeCell="P35" sqref="P35"/>
    </sheetView>
  </sheetViews>
  <sheetFormatPr defaultRowHeight="13.5" x14ac:dyDescent="0.15"/>
  <cols>
    <col min="1" max="1" width="17.125" bestFit="1" customWidth="1"/>
    <col min="3" max="3" width="5.875" bestFit="1" customWidth="1"/>
    <col min="4" max="4" width="4.5" bestFit="1" customWidth="1"/>
    <col min="5" max="5" width="11.375" customWidth="1"/>
    <col min="6" max="6" width="6.75" bestFit="1" customWidth="1"/>
    <col min="7" max="7" width="9.625" customWidth="1"/>
    <col min="8" max="8" width="2.625" customWidth="1"/>
    <col min="9" max="9" width="14.125" customWidth="1"/>
    <col min="10" max="10" width="8.75" bestFit="1" customWidth="1"/>
    <col min="11" max="11" width="11.25" bestFit="1" customWidth="1"/>
    <col min="13" max="13" width="17.125" bestFit="1" customWidth="1"/>
    <col min="14" max="14" width="4.5" bestFit="1" customWidth="1"/>
    <col min="15" max="19" width="6.75" bestFit="1" customWidth="1"/>
    <col min="20" max="20" width="6.5" bestFit="1" customWidth="1"/>
    <col min="21" max="21" width="7.625" bestFit="1" customWidth="1"/>
  </cols>
  <sheetData>
    <row r="1" spans="1:21" x14ac:dyDescent="0.15">
      <c r="A1" s="1"/>
      <c r="B1" t="s">
        <v>62</v>
      </c>
    </row>
    <row r="2" spans="1:21" x14ac:dyDescent="0.15">
      <c r="A2" s="13"/>
      <c r="B2" t="s">
        <v>63</v>
      </c>
    </row>
    <row r="4" spans="1:21" ht="14.25" thickBot="1" x14ac:dyDescent="0.2">
      <c r="A4" s="4"/>
      <c r="B4" s="4"/>
      <c r="C4" s="4"/>
      <c r="D4" s="4"/>
      <c r="E4" s="4"/>
      <c r="F4" s="4"/>
      <c r="G4" s="4"/>
      <c r="I4" s="4"/>
      <c r="J4" s="4"/>
      <c r="K4" s="4"/>
    </row>
    <row r="5" spans="1:21" ht="14.25" thickBot="1" x14ac:dyDescent="0.2">
      <c r="A5" s="41" t="s">
        <v>26</v>
      </c>
      <c r="B5" s="42">
        <v>11</v>
      </c>
      <c r="C5" s="43" t="s">
        <v>111</v>
      </c>
      <c r="D5" s="4"/>
      <c r="E5" s="4"/>
      <c r="F5" s="4"/>
      <c r="G5" s="4"/>
      <c r="I5" s="4"/>
      <c r="J5" s="4"/>
      <c r="K5" s="4"/>
    </row>
    <row r="6" spans="1:21" ht="14.25" thickBot="1" x14ac:dyDescent="0.2">
      <c r="A6" s="4"/>
      <c r="C6" s="4"/>
      <c r="M6" t="s">
        <v>130</v>
      </c>
    </row>
    <row r="7" spans="1:21" x14ac:dyDescent="0.15">
      <c r="A7" s="19" t="s">
        <v>113</v>
      </c>
      <c r="B7" s="20"/>
      <c r="C7" s="20"/>
      <c r="D7" s="20"/>
      <c r="E7" s="72" t="s">
        <v>127</v>
      </c>
      <c r="F7" s="20"/>
      <c r="G7" s="21"/>
      <c r="I7" s="80" t="s">
        <v>112</v>
      </c>
      <c r="J7" s="53" t="s">
        <v>48</v>
      </c>
      <c r="K7" s="54" t="s">
        <v>49</v>
      </c>
      <c r="M7" s="4"/>
      <c r="N7" s="4" t="s">
        <v>125</v>
      </c>
      <c r="O7" s="4" t="s">
        <v>124</v>
      </c>
      <c r="P7" s="4" t="s">
        <v>124</v>
      </c>
      <c r="Q7" s="4" t="s">
        <v>124</v>
      </c>
      <c r="R7" s="4" t="s">
        <v>124</v>
      </c>
      <c r="S7" s="4" t="s">
        <v>124</v>
      </c>
      <c r="T7" s="4" t="s">
        <v>128</v>
      </c>
      <c r="U7" s="4" t="s">
        <v>129</v>
      </c>
    </row>
    <row r="8" spans="1:21" x14ac:dyDescent="0.15">
      <c r="A8" s="22" t="s">
        <v>97</v>
      </c>
      <c r="B8" s="23">
        <v>500</v>
      </c>
      <c r="C8" s="37" t="s">
        <v>108</v>
      </c>
      <c r="D8" s="37"/>
      <c r="E8" s="38" t="s">
        <v>13</v>
      </c>
      <c r="F8" s="16">
        <f>(B8*50+B9*50+B10*43+B11*10+B12*100+B13*133+B14*175+B15*500)/1000/B25*100</f>
        <v>8.3333333333333321</v>
      </c>
      <c r="G8" s="33" t="s">
        <v>135</v>
      </c>
      <c r="I8" s="55" t="s">
        <v>45</v>
      </c>
      <c r="J8" s="74">
        <f>J16</f>
        <v>0.57543195835002015</v>
      </c>
      <c r="K8" s="75">
        <f>J8*4/J14</f>
        <v>4.8532543842424086E-2</v>
      </c>
      <c r="N8" t="s">
        <v>121</v>
      </c>
      <c r="O8" t="s">
        <v>14</v>
      </c>
      <c r="P8" t="s">
        <v>122</v>
      </c>
      <c r="Q8" t="s">
        <v>16</v>
      </c>
      <c r="R8" t="s">
        <v>123</v>
      </c>
      <c r="S8" t="s">
        <v>33</v>
      </c>
      <c r="T8" t="s">
        <v>32</v>
      </c>
      <c r="U8" t="s">
        <v>31</v>
      </c>
    </row>
    <row r="9" spans="1:21" x14ac:dyDescent="0.15">
      <c r="A9" s="22" t="s">
        <v>107</v>
      </c>
      <c r="B9" s="23">
        <v>0</v>
      </c>
      <c r="C9" s="37" t="s">
        <v>21</v>
      </c>
      <c r="D9" s="37"/>
      <c r="E9" s="37" t="s">
        <v>138</v>
      </c>
      <c r="F9" s="17">
        <f>(B8*50+B9*50+B10*43+B11*10+B12*100+B13*133+B14*175+B15*500)/B25*B26/60/B5</f>
        <v>5.4292929292929282</v>
      </c>
      <c r="G9" s="33" t="s">
        <v>57</v>
      </c>
      <c r="I9" s="55" t="s">
        <v>46</v>
      </c>
      <c r="J9" s="74">
        <f>J29</f>
        <v>0</v>
      </c>
      <c r="K9" s="75">
        <f>J9*9/J14</f>
        <v>0</v>
      </c>
      <c r="M9" t="s">
        <v>97</v>
      </c>
      <c r="N9">
        <v>50</v>
      </c>
      <c r="O9">
        <v>130</v>
      </c>
      <c r="P9">
        <v>4</v>
      </c>
      <c r="Q9">
        <v>109</v>
      </c>
      <c r="R9">
        <v>3</v>
      </c>
    </row>
    <row r="10" spans="1:21" ht="14.25" thickBot="1" x14ac:dyDescent="0.2">
      <c r="A10" s="22" t="s">
        <v>98</v>
      </c>
      <c r="B10" s="23">
        <v>0</v>
      </c>
      <c r="C10" s="37" t="s">
        <v>21</v>
      </c>
      <c r="D10" s="37"/>
      <c r="E10" s="38" t="s">
        <v>14</v>
      </c>
      <c r="F10" s="6">
        <f>(B8*130+B9*130+B10*35+B11*140+B12*35+B13*55.4+B14*50+B16*1700+B17*3+B21*750)/B25</f>
        <v>120.37037037037037</v>
      </c>
      <c r="G10" s="33" t="s">
        <v>133</v>
      </c>
      <c r="I10" s="66" t="s">
        <v>47</v>
      </c>
      <c r="J10" s="76">
        <f>J15*60*24/1000</f>
        <v>11.281188626351621</v>
      </c>
      <c r="K10" s="77">
        <f>J10*4/J14</f>
        <v>0.95146745615757622</v>
      </c>
      <c r="M10" t="s">
        <v>107</v>
      </c>
      <c r="N10">
        <v>50</v>
      </c>
      <c r="O10">
        <v>130</v>
      </c>
      <c r="P10">
        <v>4</v>
      </c>
      <c r="Q10">
        <v>109</v>
      </c>
      <c r="R10">
        <v>3</v>
      </c>
    </row>
    <row r="11" spans="1:21" ht="14.25" thickBot="1" x14ac:dyDescent="0.2">
      <c r="A11" s="22" t="s">
        <v>106</v>
      </c>
      <c r="B11" s="23">
        <v>0</v>
      </c>
      <c r="C11" s="37" t="s">
        <v>109</v>
      </c>
      <c r="D11" s="37"/>
      <c r="E11" s="38" t="s">
        <v>15</v>
      </c>
      <c r="F11" s="6">
        <f>(B8*4+B9*4+B10*20+B11*4+B12*20+B13*33.2+B14*30)/B25</f>
        <v>3.7037037037037037</v>
      </c>
      <c r="G11" s="33" t="s">
        <v>133</v>
      </c>
      <c r="I11" s="73"/>
      <c r="J11" s="73"/>
      <c r="K11" s="73"/>
      <c r="M11" t="s">
        <v>98</v>
      </c>
      <c r="N11">
        <v>43</v>
      </c>
      <c r="O11">
        <v>35</v>
      </c>
      <c r="P11">
        <v>20</v>
      </c>
      <c r="Q11">
        <v>35</v>
      </c>
    </row>
    <row r="12" spans="1:21" x14ac:dyDescent="0.15">
      <c r="A12" s="22" t="s">
        <v>99</v>
      </c>
      <c r="B12" s="23">
        <v>0</v>
      </c>
      <c r="C12" s="37" t="s">
        <v>21</v>
      </c>
      <c r="D12" s="37"/>
      <c r="E12" s="38" t="s">
        <v>16</v>
      </c>
      <c r="F12" s="6">
        <f>(B8*109+B9*109+B10*35+B11*115+B12*28+B13*54.3+B14*49)/B25</f>
        <v>100.92592592592592</v>
      </c>
      <c r="G12" s="33" t="s">
        <v>133</v>
      </c>
      <c r="I12" s="80" t="s">
        <v>143</v>
      </c>
      <c r="J12" s="78"/>
      <c r="K12" s="79"/>
      <c r="M12" t="s">
        <v>106</v>
      </c>
      <c r="N12">
        <v>10</v>
      </c>
      <c r="O12">
        <v>140</v>
      </c>
      <c r="P12">
        <v>4</v>
      </c>
      <c r="Q12">
        <v>115</v>
      </c>
      <c r="R12">
        <v>3</v>
      </c>
      <c r="S12">
        <v>2</v>
      </c>
    </row>
    <row r="13" spans="1:21" x14ac:dyDescent="0.15">
      <c r="A13" s="22" t="s">
        <v>119</v>
      </c>
      <c r="B13" s="23">
        <v>0</v>
      </c>
      <c r="C13" s="37" t="s">
        <v>21</v>
      </c>
      <c r="D13" s="37"/>
      <c r="E13" s="11" t="s">
        <v>123</v>
      </c>
      <c r="F13" s="13">
        <f>(B8*3+B9*3+B11*3+B12*5+B13*9.4+B14*8.5+B20*390)/B25</f>
        <v>2.7777777777777777</v>
      </c>
      <c r="G13" s="33" t="s">
        <v>133</v>
      </c>
      <c r="I13" s="55" t="s">
        <v>117</v>
      </c>
      <c r="J13" s="60">
        <f>B26*24+B47*24+B50</f>
        <v>1320</v>
      </c>
      <c r="K13" s="59" t="s">
        <v>118</v>
      </c>
      <c r="M13" t="s">
        <v>99</v>
      </c>
      <c r="N13">
        <v>100</v>
      </c>
      <c r="O13">
        <v>35</v>
      </c>
      <c r="P13">
        <v>20</v>
      </c>
      <c r="Q13">
        <v>28</v>
      </c>
      <c r="R13">
        <v>5</v>
      </c>
      <c r="S13">
        <v>3</v>
      </c>
    </row>
    <row r="14" spans="1:21" x14ac:dyDescent="0.15">
      <c r="A14" s="22" t="s">
        <v>120</v>
      </c>
      <c r="B14" s="23">
        <v>0</v>
      </c>
      <c r="C14" s="37" t="s">
        <v>21</v>
      </c>
      <c r="D14" s="37"/>
      <c r="E14" s="11" t="s">
        <v>33</v>
      </c>
      <c r="F14" s="13">
        <f>(B11*2+B12*3+B13*11.1+B14*10+B22*1000)/B25</f>
        <v>0</v>
      </c>
      <c r="G14" s="33" t="s">
        <v>133</v>
      </c>
      <c r="I14" s="55" t="s">
        <v>28</v>
      </c>
      <c r="J14" s="61">
        <f>J15/1000*60*24*4+J16*4+J29*9</f>
        <v>47.426482338806551</v>
      </c>
      <c r="K14" s="62" t="s">
        <v>56</v>
      </c>
      <c r="M14" t="s">
        <v>119</v>
      </c>
      <c r="N14">
        <v>133</v>
      </c>
      <c r="O14">
        <v>55.4</v>
      </c>
      <c r="P14">
        <v>33.200000000000003</v>
      </c>
      <c r="Q14">
        <v>54.3</v>
      </c>
      <c r="R14">
        <v>9.4</v>
      </c>
      <c r="S14">
        <v>11.1</v>
      </c>
      <c r="T14">
        <v>277</v>
      </c>
      <c r="U14">
        <v>22.1</v>
      </c>
    </row>
    <row r="15" spans="1:21" x14ac:dyDescent="0.15">
      <c r="A15" s="22" t="s">
        <v>104</v>
      </c>
      <c r="B15" s="23">
        <v>40</v>
      </c>
      <c r="C15" s="37" t="s">
        <v>110</v>
      </c>
      <c r="D15" s="37"/>
      <c r="E15" s="11" t="s">
        <v>32</v>
      </c>
      <c r="F15" s="13">
        <f>(B13*277+B14*250+B21*15500)/B25</f>
        <v>0</v>
      </c>
      <c r="G15" s="33" t="s">
        <v>134</v>
      </c>
      <c r="I15" s="55" t="s">
        <v>30</v>
      </c>
      <c r="J15" s="56">
        <f>F9+F30</f>
        <v>7.8341587682997362</v>
      </c>
      <c r="K15" s="62" t="s">
        <v>57</v>
      </c>
      <c r="M15" t="s">
        <v>120</v>
      </c>
      <c r="N15">
        <v>175</v>
      </c>
      <c r="O15">
        <v>50</v>
      </c>
      <c r="P15">
        <v>30</v>
      </c>
      <c r="Q15">
        <v>49</v>
      </c>
      <c r="R15">
        <v>8.5</v>
      </c>
      <c r="S15">
        <v>10</v>
      </c>
      <c r="T15">
        <v>250</v>
      </c>
      <c r="U15">
        <v>30</v>
      </c>
    </row>
    <row r="16" spans="1:21" x14ac:dyDescent="0.15">
      <c r="A16" s="22" t="s">
        <v>100</v>
      </c>
      <c r="B16" s="23">
        <v>0</v>
      </c>
      <c r="C16" s="37" t="s">
        <v>21</v>
      </c>
      <c r="D16" s="37"/>
      <c r="E16" s="38" t="s">
        <v>31</v>
      </c>
      <c r="F16" s="6">
        <f>(B13*22.1+B14*30+B17*76)/B25</f>
        <v>0</v>
      </c>
      <c r="G16" s="33" t="s">
        <v>125</v>
      </c>
      <c r="I16" s="55" t="s">
        <v>31</v>
      </c>
      <c r="J16" s="63">
        <f>F16/1000*B26*24/B5+F37/1000*B47*24/B5</f>
        <v>0.57543195835002015</v>
      </c>
      <c r="K16" s="62" t="s">
        <v>48</v>
      </c>
      <c r="M16" t="s">
        <v>104</v>
      </c>
      <c r="N16">
        <v>500</v>
      </c>
    </row>
    <row r="17" spans="1:21" x14ac:dyDescent="0.15">
      <c r="A17" s="22" t="s">
        <v>105</v>
      </c>
      <c r="B17" s="23">
        <v>0</v>
      </c>
      <c r="C17" s="37" t="s">
        <v>21</v>
      </c>
      <c r="D17" s="37"/>
      <c r="E17" s="37"/>
      <c r="F17" s="37"/>
      <c r="G17" s="24"/>
      <c r="I17" s="55" t="s">
        <v>14</v>
      </c>
      <c r="J17" s="56">
        <f>F10/1000*B26*24/B5+F31/1000*B47*24/B5</f>
        <v>12.735414835580475</v>
      </c>
      <c r="K17" s="62" t="s">
        <v>59</v>
      </c>
      <c r="M17" t="s">
        <v>100</v>
      </c>
      <c r="O17">
        <v>1700</v>
      </c>
      <c r="Q17">
        <v>1700</v>
      </c>
    </row>
    <row r="18" spans="1:21" x14ac:dyDescent="0.15">
      <c r="A18" s="22" t="s">
        <v>7</v>
      </c>
      <c r="B18" s="23">
        <v>0</v>
      </c>
      <c r="C18" s="37" t="s">
        <v>21</v>
      </c>
      <c r="D18" s="37" t="s">
        <v>139</v>
      </c>
      <c r="E18" s="37"/>
      <c r="F18" s="37"/>
      <c r="G18" s="24"/>
      <c r="I18" s="55" t="s">
        <v>15</v>
      </c>
      <c r="J18" s="56">
        <f>F11/1000*B26*24/B5+F32/1000*B47*24/B5</f>
        <v>1.2119245672584882</v>
      </c>
      <c r="K18" s="62" t="s">
        <v>59</v>
      </c>
      <c r="M18" t="s">
        <v>105</v>
      </c>
      <c r="O18">
        <v>3</v>
      </c>
      <c r="U18">
        <v>76</v>
      </c>
    </row>
    <row r="19" spans="1:21" x14ac:dyDescent="0.15">
      <c r="A19" s="22" t="s">
        <v>101</v>
      </c>
      <c r="B19" s="23">
        <v>0</v>
      </c>
      <c r="C19" s="37" t="s">
        <v>21</v>
      </c>
      <c r="D19" s="37"/>
      <c r="E19" s="37"/>
      <c r="F19" s="37"/>
      <c r="G19" s="24"/>
      <c r="I19" s="55" t="s">
        <v>123</v>
      </c>
      <c r="J19" s="64">
        <f>F13/1000*B26*24/B5+F34/1000*B47*24/B5</f>
        <v>0.50535992524362572</v>
      </c>
      <c r="K19" s="62" t="s">
        <v>59</v>
      </c>
      <c r="M19" t="s">
        <v>7</v>
      </c>
    </row>
    <row r="20" spans="1:21" x14ac:dyDescent="0.15">
      <c r="A20" s="22" t="s">
        <v>4</v>
      </c>
      <c r="B20" s="23">
        <v>0</v>
      </c>
      <c r="C20" s="37" t="s">
        <v>21</v>
      </c>
      <c r="D20" s="37"/>
      <c r="E20" s="37"/>
      <c r="F20" s="37"/>
      <c r="G20" s="24"/>
      <c r="I20" s="55" t="s">
        <v>4</v>
      </c>
      <c r="J20" s="56">
        <f>B20/B25*B26*24/B5+B41/B46*B47*24/B5</f>
        <v>0</v>
      </c>
      <c r="K20" s="62" t="s">
        <v>55</v>
      </c>
      <c r="M20" t="s">
        <v>101</v>
      </c>
    </row>
    <row r="21" spans="1:21" x14ac:dyDescent="0.15">
      <c r="A21" s="22" t="s">
        <v>102</v>
      </c>
      <c r="B21" s="23">
        <v>0</v>
      </c>
      <c r="C21" s="37" t="s">
        <v>21</v>
      </c>
      <c r="D21" s="37"/>
      <c r="E21" s="37"/>
      <c r="F21" s="37"/>
      <c r="G21" s="24"/>
      <c r="I21" s="55" t="s">
        <v>32</v>
      </c>
      <c r="J21" s="65">
        <f>F15/1000*B26*24/B5</f>
        <v>0</v>
      </c>
      <c r="K21" s="62" t="s">
        <v>136</v>
      </c>
      <c r="M21" t="s">
        <v>4</v>
      </c>
      <c r="R21">
        <v>390</v>
      </c>
    </row>
    <row r="22" spans="1:21" x14ac:dyDescent="0.15">
      <c r="A22" s="22" t="s">
        <v>103</v>
      </c>
      <c r="B22" s="23">
        <v>0</v>
      </c>
      <c r="C22" s="37" t="s">
        <v>21</v>
      </c>
      <c r="D22" s="37"/>
      <c r="E22" s="37"/>
      <c r="F22" s="37"/>
      <c r="G22" s="24"/>
      <c r="I22" s="55" t="s">
        <v>132</v>
      </c>
      <c r="J22" s="56">
        <f>B21/B25*B26*24/B5+B42/B46*B47*24/B5</f>
        <v>0</v>
      </c>
      <c r="K22" s="62" t="s">
        <v>55</v>
      </c>
      <c r="M22" t="s">
        <v>102</v>
      </c>
      <c r="O22">
        <v>750</v>
      </c>
      <c r="T22">
        <v>15500</v>
      </c>
    </row>
    <row r="23" spans="1:21" x14ac:dyDescent="0.15">
      <c r="A23" s="22" t="s">
        <v>9</v>
      </c>
      <c r="B23" s="23">
        <v>0</v>
      </c>
      <c r="C23" s="37" t="s">
        <v>21</v>
      </c>
      <c r="D23" s="37"/>
      <c r="E23" s="37"/>
      <c r="F23" s="37"/>
      <c r="G23" s="24"/>
      <c r="I23" s="55" t="s">
        <v>33</v>
      </c>
      <c r="J23" s="65">
        <f>F14/1000*B26*24/B5</f>
        <v>0</v>
      </c>
      <c r="K23" s="62" t="s">
        <v>59</v>
      </c>
      <c r="M23" t="s">
        <v>103</v>
      </c>
      <c r="S23">
        <v>1000</v>
      </c>
    </row>
    <row r="24" spans="1:21" x14ac:dyDescent="0.15">
      <c r="A24" s="22" t="s">
        <v>37</v>
      </c>
      <c r="B24" s="23">
        <v>0</v>
      </c>
      <c r="C24" s="37" t="s">
        <v>21</v>
      </c>
      <c r="D24" s="37"/>
      <c r="E24" s="37"/>
      <c r="F24" s="37"/>
      <c r="G24" s="24"/>
      <c r="I24" s="55" t="s">
        <v>103</v>
      </c>
      <c r="J24" s="56">
        <f>B22/B25*B26*24/B5+B43/B46*B47*24/B5</f>
        <v>0</v>
      </c>
      <c r="K24" s="62" t="s">
        <v>55</v>
      </c>
    </row>
    <row r="25" spans="1:21" x14ac:dyDescent="0.15">
      <c r="A25" s="25" t="s">
        <v>12</v>
      </c>
      <c r="B25" s="6">
        <f>SUM(B8:B24)</f>
        <v>540</v>
      </c>
      <c r="C25" s="37" t="s">
        <v>21</v>
      </c>
      <c r="D25" s="37"/>
      <c r="E25" s="37"/>
      <c r="F25" s="37"/>
      <c r="G25" s="24"/>
      <c r="I25" s="57"/>
      <c r="J25" s="58"/>
      <c r="K25" s="59"/>
    </row>
    <row r="26" spans="1:21" ht="14.25" thickBot="1" x14ac:dyDescent="0.2">
      <c r="A26" s="26" t="s">
        <v>114</v>
      </c>
      <c r="B26" s="27">
        <v>43</v>
      </c>
      <c r="C26" s="39" t="s">
        <v>115</v>
      </c>
      <c r="D26" s="39"/>
      <c r="E26" s="39"/>
      <c r="F26" s="39"/>
      <c r="G26" s="28"/>
      <c r="I26" s="55" t="s">
        <v>7</v>
      </c>
      <c r="J26" s="63">
        <f>B18/B25*B26*24/B5+B39/B46*B47*24/B5</f>
        <v>0.14417300760913096</v>
      </c>
      <c r="K26" s="62" t="s">
        <v>55</v>
      </c>
    </row>
    <row r="27" spans="1:21" ht="14.25" thickBot="1" x14ac:dyDescent="0.2">
      <c r="I27" s="55" t="s">
        <v>8</v>
      </c>
      <c r="J27" s="63">
        <f>B19/B25*B26*24/B5+B40/B46*B47*24/B5</f>
        <v>0</v>
      </c>
      <c r="K27" s="62" t="s">
        <v>55</v>
      </c>
    </row>
    <row r="28" spans="1:21" x14ac:dyDescent="0.15">
      <c r="A28" s="19" t="s">
        <v>116</v>
      </c>
      <c r="B28" s="20"/>
      <c r="C28" s="20"/>
      <c r="D28" s="20"/>
      <c r="E28" s="72" t="s">
        <v>131</v>
      </c>
      <c r="F28" s="20"/>
      <c r="G28" s="21"/>
      <c r="H28" s="4"/>
      <c r="I28" s="57"/>
      <c r="J28" s="58"/>
      <c r="K28" s="59"/>
    </row>
    <row r="29" spans="1:21" ht="14.25" thickBot="1" x14ac:dyDescent="0.2">
      <c r="A29" s="22" t="s">
        <v>97</v>
      </c>
      <c r="B29" s="23">
        <v>0</v>
      </c>
      <c r="C29" s="37" t="s">
        <v>108</v>
      </c>
      <c r="D29" s="37"/>
      <c r="E29" s="38" t="s">
        <v>13</v>
      </c>
      <c r="F29" s="16">
        <f>(B29*50+B30*50+B31*43+B32*10+B33*100+B34*133+B35*175+B36*500)/1000/B46*100</f>
        <v>13.226762114537447</v>
      </c>
      <c r="G29" s="33" t="s">
        <v>135</v>
      </c>
      <c r="I29" s="66" t="s">
        <v>34</v>
      </c>
      <c r="J29" s="67">
        <f>B50/5/B5</f>
        <v>0</v>
      </c>
      <c r="K29" s="68" t="s">
        <v>48</v>
      </c>
    </row>
    <row r="30" spans="1:21" x14ac:dyDescent="0.15">
      <c r="A30" s="22" t="s">
        <v>107</v>
      </c>
      <c r="B30" s="23">
        <v>0</v>
      </c>
      <c r="C30" s="37" t="s">
        <v>21</v>
      </c>
      <c r="D30" s="37"/>
      <c r="E30" s="37" t="s">
        <v>138</v>
      </c>
      <c r="F30" s="17">
        <f>(B29*50+B30*50+B31*43+B32*10+B33*100+B34*133+B35*175+B36*500)/B46*B47/60/B5</f>
        <v>2.4048658390068081</v>
      </c>
      <c r="G30" s="33" t="s">
        <v>57</v>
      </c>
    </row>
    <row r="31" spans="1:21" x14ac:dyDescent="0.15">
      <c r="A31" s="22" t="s">
        <v>98</v>
      </c>
      <c r="B31" s="23">
        <v>0</v>
      </c>
      <c r="C31" s="37" t="s">
        <v>21</v>
      </c>
      <c r="D31" s="37"/>
      <c r="E31" s="38" t="s">
        <v>14</v>
      </c>
      <c r="F31" s="6">
        <f>(B29*130+B30*130+B31*35+B32*140+B33*35+B34*55.4+B35*50+B37*1700+B38*3+B42*750)/B46</f>
        <v>55.09493392070484</v>
      </c>
      <c r="G31" s="33" t="s">
        <v>133</v>
      </c>
    </row>
    <row r="32" spans="1:21" x14ac:dyDescent="0.15">
      <c r="A32" s="22" t="s">
        <v>106</v>
      </c>
      <c r="B32" s="23">
        <v>0</v>
      </c>
      <c r="C32" s="37" t="s">
        <v>109</v>
      </c>
      <c r="D32" s="37"/>
      <c r="E32" s="38" t="s">
        <v>15</v>
      </c>
      <c r="F32" s="6">
        <f>(B29*4+B30*4+B31*20+B32*4+B33*20+B34*33.2+B35*30)/B46</f>
        <v>33.017180616740092</v>
      </c>
      <c r="G32" s="33" t="s">
        <v>133</v>
      </c>
    </row>
    <row r="33" spans="1:7" x14ac:dyDescent="0.15">
      <c r="A33" s="22" t="s">
        <v>99</v>
      </c>
      <c r="B33" s="23">
        <v>0</v>
      </c>
      <c r="C33" s="37" t="s">
        <v>21</v>
      </c>
      <c r="D33" s="37"/>
      <c r="E33" s="38" t="s">
        <v>16</v>
      </c>
      <c r="F33" s="6">
        <f>(B29*109+B30*109+B31*35+B32*115+B33*28+B34*54.3+B35*49)/B46</f>
        <v>54.000991189427303</v>
      </c>
      <c r="G33" s="33" t="s">
        <v>133</v>
      </c>
    </row>
    <row r="34" spans="1:7" x14ac:dyDescent="0.15">
      <c r="A34" s="22" t="s">
        <v>119</v>
      </c>
      <c r="B34" s="23">
        <v>903</v>
      </c>
      <c r="C34" s="37" t="s">
        <v>21</v>
      </c>
      <c r="D34" s="37"/>
      <c r="E34" s="11" t="s">
        <v>123</v>
      </c>
      <c r="F34" s="13">
        <f>(B29*3+B30*3+B32*3+B33*5+B34*9.4+B35*8.5+B41*390)/B46</f>
        <v>9.3482378854625559</v>
      </c>
      <c r="G34" s="33" t="s">
        <v>133</v>
      </c>
    </row>
    <row r="35" spans="1:7" x14ac:dyDescent="0.15">
      <c r="A35" s="22" t="s">
        <v>120</v>
      </c>
      <c r="B35" s="23">
        <v>0</v>
      </c>
      <c r="C35" s="37" t="s">
        <v>21</v>
      </c>
      <c r="D35" s="37"/>
      <c r="E35" s="11" t="s">
        <v>33</v>
      </c>
      <c r="F35" s="13">
        <f>(B32*2+B33*3+B34*11.1+B35*10+B43*1000)/B46</f>
        <v>11.038876651982378</v>
      </c>
      <c r="G35" s="33" t="s">
        <v>133</v>
      </c>
    </row>
    <row r="36" spans="1:7" x14ac:dyDescent="0.15">
      <c r="A36" s="22" t="s">
        <v>104</v>
      </c>
      <c r="B36" s="23">
        <v>0</v>
      </c>
      <c r="C36" s="37" t="s">
        <v>110</v>
      </c>
      <c r="D36" s="37"/>
      <c r="E36" s="11" t="s">
        <v>32</v>
      </c>
      <c r="F36" s="13">
        <f>(B34*277+B35*250+B42*15500)/B46</f>
        <v>275.47466960352421</v>
      </c>
      <c r="G36" s="33" t="s">
        <v>134</v>
      </c>
    </row>
    <row r="37" spans="1:7" x14ac:dyDescent="0.15">
      <c r="A37" s="22" t="s">
        <v>100</v>
      </c>
      <c r="B37" s="23">
        <v>0</v>
      </c>
      <c r="C37" s="37" t="s">
        <v>21</v>
      </c>
      <c r="D37" s="37"/>
      <c r="E37" s="38" t="s">
        <v>31</v>
      </c>
      <c r="F37" s="6">
        <f>(B34*22.1+B35*30+B38*76)/B46</f>
        <v>21.978303964757714</v>
      </c>
      <c r="G37" s="33" t="s">
        <v>125</v>
      </c>
    </row>
    <row r="38" spans="1:7" x14ac:dyDescent="0.15">
      <c r="A38" s="22" t="s">
        <v>105</v>
      </c>
      <c r="B38" s="23">
        <v>0</v>
      </c>
      <c r="C38" s="37" t="s">
        <v>21</v>
      </c>
      <c r="D38" s="37"/>
      <c r="E38" s="37"/>
      <c r="F38" s="37"/>
      <c r="G38" s="24"/>
    </row>
    <row r="39" spans="1:7" x14ac:dyDescent="0.15">
      <c r="A39" s="22" t="s">
        <v>7</v>
      </c>
      <c r="B39" s="23">
        <v>5</v>
      </c>
      <c r="C39" s="37" t="s">
        <v>21</v>
      </c>
      <c r="D39" s="37" t="s">
        <v>139</v>
      </c>
      <c r="E39" s="37"/>
      <c r="F39" s="37"/>
      <c r="G39" s="24"/>
    </row>
    <row r="40" spans="1:7" x14ac:dyDescent="0.15">
      <c r="A40" s="22" t="s">
        <v>101</v>
      </c>
      <c r="B40" s="23">
        <v>0</v>
      </c>
      <c r="C40" s="37" t="s">
        <v>21</v>
      </c>
      <c r="D40" s="37"/>
      <c r="E40" s="37"/>
      <c r="F40" s="37"/>
      <c r="G40" s="24"/>
    </row>
    <row r="41" spans="1:7" x14ac:dyDescent="0.15">
      <c r="A41" s="22" t="s">
        <v>4</v>
      </c>
      <c r="B41" s="23">
        <v>0</v>
      </c>
      <c r="C41" s="37" t="s">
        <v>21</v>
      </c>
      <c r="D41" s="37"/>
      <c r="E41" s="37"/>
      <c r="F41" s="37"/>
      <c r="G41" s="24"/>
    </row>
    <row r="42" spans="1:7" x14ac:dyDescent="0.15">
      <c r="A42" s="22" t="s">
        <v>102</v>
      </c>
      <c r="B42" s="23">
        <v>0</v>
      </c>
      <c r="C42" s="37" t="s">
        <v>21</v>
      </c>
      <c r="D42" s="37"/>
      <c r="E42" s="37"/>
      <c r="F42" s="37"/>
      <c r="G42" s="24"/>
    </row>
    <row r="43" spans="1:7" x14ac:dyDescent="0.15">
      <c r="A43" s="22" t="s">
        <v>103</v>
      </c>
      <c r="B43" s="23">
        <v>0</v>
      </c>
      <c r="C43" s="37" t="s">
        <v>21</v>
      </c>
      <c r="D43" s="37"/>
      <c r="E43" s="37"/>
      <c r="F43" s="37"/>
      <c r="G43" s="24"/>
    </row>
    <row r="44" spans="1:7" x14ac:dyDescent="0.15">
      <c r="A44" s="22" t="s">
        <v>9</v>
      </c>
      <c r="B44" s="23">
        <v>0</v>
      </c>
      <c r="C44" s="37" t="s">
        <v>21</v>
      </c>
      <c r="D44" s="37"/>
      <c r="E44" s="37"/>
      <c r="F44" s="37"/>
      <c r="G44" s="24"/>
    </row>
    <row r="45" spans="1:7" x14ac:dyDescent="0.15">
      <c r="A45" s="22" t="s">
        <v>37</v>
      </c>
      <c r="B45" s="23">
        <v>0</v>
      </c>
      <c r="C45" s="37" t="s">
        <v>21</v>
      </c>
      <c r="D45" s="37"/>
      <c r="E45" s="37"/>
      <c r="F45" s="37"/>
      <c r="G45" s="24"/>
    </row>
    <row r="46" spans="1:7" x14ac:dyDescent="0.15">
      <c r="A46" s="25" t="s">
        <v>12</v>
      </c>
      <c r="B46" s="6">
        <f>SUM(B29:B45)</f>
        <v>908</v>
      </c>
      <c r="C46" s="37" t="s">
        <v>21</v>
      </c>
      <c r="D46" s="37"/>
      <c r="E46" s="37"/>
      <c r="F46" s="37"/>
      <c r="G46" s="24"/>
    </row>
    <row r="47" spans="1:7" ht="14.25" thickBot="1" x14ac:dyDescent="0.2">
      <c r="A47" s="26" t="s">
        <v>114</v>
      </c>
      <c r="B47" s="27">
        <v>12</v>
      </c>
      <c r="C47" s="39" t="s">
        <v>115</v>
      </c>
      <c r="D47" s="39"/>
      <c r="E47" s="39"/>
      <c r="F47" s="39"/>
      <c r="G47" s="28"/>
    </row>
    <row r="48" spans="1:7" ht="14.25" thickBot="1" x14ac:dyDescent="0.2"/>
    <row r="49" spans="1:11" x14ac:dyDescent="0.15">
      <c r="A49" s="29" t="s">
        <v>17</v>
      </c>
      <c r="B49" s="30"/>
      <c r="C49" s="30"/>
      <c r="D49" s="30"/>
      <c r="E49" s="30"/>
      <c r="F49" s="30"/>
      <c r="G49" s="31"/>
    </row>
    <row r="50" spans="1:11" x14ac:dyDescent="0.15">
      <c r="A50" s="32" t="s">
        <v>126</v>
      </c>
      <c r="B50" s="6">
        <f>B51*B52</f>
        <v>0</v>
      </c>
      <c r="C50" s="38" t="s">
        <v>21</v>
      </c>
      <c r="D50" s="37"/>
      <c r="E50" s="38" t="s">
        <v>137</v>
      </c>
      <c r="F50" s="38"/>
      <c r="G50" s="33"/>
    </row>
    <row r="51" spans="1:11" x14ac:dyDescent="0.15">
      <c r="A51" s="32" t="s">
        <v>19</v>
      </c>
      <c r="B51" s="23">
        <v>0</v>
      </c>
      <c r="C51" s="38" t="s">
        <v>24</v>
      </c>
      <c r="D51" s="37"/>
      <c r="E51" s="38" t="s">
        <v>140</v>
      </c>
      <c r="F51" s="38"/>
      <c r="G51" s="33"/>
      <c r="H51" s="4"/>
      <c r="I51" s="4"/>
      <c r="J51" s="4"/>
      <c r="K51" s="4"/>
    </row>
    <row r="52" spans="1:11" ht="14.25" thickBot="1" x14ac:dyDescent="0.2">
      <c r="A52" s="34" t="s">
        <v>20</v>
      </c>
      <c r="B52" s="35">
        <v>0</v>
      </c>
      <c r="C52" s="40" t="s">
        <v>25</v>
      </c>
      <c r="D52" s="40"/>
      <c r="E52" s="40" t="s">
        <v>141</v>
      </c>
      <c r="F52" s="40"/>
      <c r="G52" s="36"/>
      <c r="H52" s="4"/>
      <c r="I52" s="4"/>
      <c r="J52" s="4"/>
      <c r="K52" s="4"/>
    </row>
    <row r="53" spans="1:11" x14ac:dyDescent="0.15">
      <c r="H53" s="4"/>
      <c r="I53" s="4"/>
      <c r="J53" s="4"/>
      <c r="K53" s="4"/>
    </row>
    <row r="54" spans="1:11" x14ac:dyDescent="0.15">
      <c r="H54" s="4"/>
      <c r="I54" s="4"/>
      <c r="J54" s="4"/>
      <c r="K54" s="4"/>
    </row>
    <row r="56" spans="1:11" x14ac:dyDescent="0.15">
      <c r="A56" t="s">
        <v>142</v>
      </c>
    </row>
    <row r="57" spans="1:11" x14ac:dyDescent="0.15">
      <c r="A57" s="11"/>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テンプレ</vt:lpstr>
      <vt:lpstr>あおい</vt:lpstr>
      <vt:lpstr>yuuhei</vt:lpstr>
      <vt:lpstr>テンプレ (2)</vt:lpstr>
      <vt:lpstr>NICUver</vt:lpstr>
      <vt:lpstr>旧テンプレ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 大地</dc:creator>
  <cp:lastModifiedBy>RWN-4W06</cp:lastModifiedBy>
  <cp:lastPrinted>2018-05-15T02:11:35Z</cp:lastPrinted>
  <dcterms:created xsi:type="dcterms:W3CDTF">2018-05-10T09:23:48Z</dcterms:created>
  <dcterms:modified xsi:type="dcterms:W3CDTF">2024-12-02T01:39:26Z</dcterms:modified>
</cp:coreProperties>
</file>